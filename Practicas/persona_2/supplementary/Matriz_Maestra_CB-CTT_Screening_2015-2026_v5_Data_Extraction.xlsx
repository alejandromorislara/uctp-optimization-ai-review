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Summary" sheetId="1" state="visible" r:id="rId1"/>
    <sheet xmlns:r="http://schemas.openxmlformats.org/officeDocument/2006/relationships" name="Master_Matrix" sheetId="2" state="visible" r:id="rId2"/>
    <sheet xmlns:r="http://schemas.openxmlformats.org/officeDocument/2006/relationships" name="Screening_Criteria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irected_Search" sheetId="5" state="visible" r:id="rId5"/>
    <sheet xmlns:r="http://schemas.openxmlformats.org/officeDocument/2006/relationships" name="Taxonomy" sheetId="6" state="visible" r:id="rId6"/>
    <sheet xmlns:r="http://schemas.openxmlformats.org/officeDocument/2006/relationships" name="Final_Corpus" sheetId="7" state="visible" r:id="rId7"/>
    <sheet xmlns:r="http://schemas.openxmlformats.org/officeDocument/2006/relationships" name="Final_Screening" sheetId="8" state="visible" r:id="rId8"/>
    <sheet xmlns:r="http://schemas.openxmlformats.org/officeDocument/2006/relationships" name="Data_Extraction" sheetId="9" state="visible" r:id="rId9"/>
    <sheet xmlns:r="http://schemas.openxmlformats.org/officeDocument/2006/relationships" name="Extraction_Dictionary" sheetId="10" state="visible" r:id="rId10"/>
  </sheets>
  <definedNames>
    <definedName name="_xlnm._FilterDatabase" localSheetId="1" hidden="1">'Master_Matrix'!$A$1:$AC$41</definedName>
    <definedName name="_xlnm._FilterDatabase" localSheetId="4" hidden="1">'Directed_Search'!$A$1:$G$5</definedName>
    <definedName name="_xlnm._FilterDatabase" localSheetId="6" hidden="1">'Final_Corpus'!$A$1:$N$26</definedName>
    <definedName name="_xlnm._FilterDatabase" localSheetId="8" hidden="1">'Data_Extraction'!$A$1:$R$26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color rgb="00808080"/>
    </font>
    <font>
      <color rgb="00008000"/>
      <u val="single"/>
    </font>
    <font>
      <b val="1"/>
      <color rgb="00FFFFFF"/>
      <sz val="14"/>
    </font>
    <font>
      <color rgb="00666666"/>
    </font>
    <font>
      <b val="1"/>
      <color rgb="00FFFFFF"/>
      <sz val="11"/>
    </font>
    <font>
      <b val="1"/>
      <color rgb="00666666"/>
    </font>
    <font>
      <b val="1"/>
    </font>
    <font/>
    <font>
      <name val="Calibri"/>
      <color rgb="00008000"/>
      <sz val="11"/>
    </font>
    <font>
      <color rgb="00008000"/>
    </font>
    <font>
      <b val="1"/>
      <color rgb="00FFFFFF"/>
      <sz val="16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F4CCC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5B9BD5"/>
      </patternFill>
    </fill>
    <fill>
      <patternFill patternType="solid">
        <fgColor rgb="00548235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7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1" fillId="1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8" borderId="0" applyAlignment="1" pivotButton="0" quotePrefix="0" xfId="0">
      <alignment vertical="top" wrapText="1"/>
    </xf>
    <xf numFmtId="0" fontId="10" fillId="8" borderId="0" applyAlignment="1" pivotButton="0" quotePrefix="0" xfId="0">
      <alignment vertical="top" wrapText="1"/>
    </xf>
    <xf numFmtId="0" fontId="11" fillId="8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top" wrapText="1"/>
    </xf>
    <xf numFmtId="0" fontId="1" fillId="11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  <xf numFmtId="0" fontId="9" fillId="0" borderId="0" pivotButton="0" quotePrefix="0" xfId="0"/>
    <xf numFmtId="0" fontId="13" fillId="12" borderId="0" applyAlignment="1" pivotButton="0" quotePrefix="0" xfId="0">
      <alignment vertical="top" wrapText="1"/>
    </xf>
    <xf numFmtId="0" fontId="1" fillId="12" borderId="0" applyAlignment="1" pivotButton="0" quotePrefix="0" xfId="0">
      <alignment vertical="top" wrapText="1"/>
    </xf>
    <xf numFmtId="0" fontId="1" fillId="1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OpenAI</author>
  </authors>
  <commentList>
    <comment ref="H1" authorId="0" shapeId="0">
      <text>
        <t>Separates standard CB-CTT evidence from extensions/context so objective values are not pooled incorrectly.</t>
      </text>
    </comment>
    <comment ref="J1" authorId="0" shapeId="0">
      <text>
        <t>Refined method taxonomy, including local search, evolutionary methods, swarm intelligence/PSO, exact methods, ML and automatic configuration.</t>
      </text>
    </comment>
  </commentList>
</comments>
</file>

<file path=xl/tables/table1.xml><?xml version="1.0" encoding="utf-8"?>
<table xmlns="http://schemas.openxmlformats.org/spreadsheetml/2006/main" id="1" name="DataExtractionTable" displayName="DataExtractionTable" ref="A1:R26" headerRowCount="1">
  <autoFilter ref="A1:R26"/>
  <tableColumns count="18">
    <tableColumn id="1" name="Paper_ID"/>
    <tableColumn id="2" name="Year"/>
    <tableColumn id="3" name="Authors"/>
    <tableColumn id="4" name="Title"/>
    <tableColumn id="5" name="Corpus_Tier"/>
    <tableColumn id="6" name="Benchmark_or_Dataset"/>
    <tableColumn id="7" name="N_Instances_or_Scale"/>
    <tableColumn id="8" name="Method"/>
    <tableColumn id="9" name="Metrics"/>
    <tableColumn id="10" name="Baseline_or_Comparator"/>
    <tableColumn id="11" name="Main_Result"/>
    <tableColumn id="12" name="Code_Available"/>
    <tableColumn id="13" name="Data_Available"/>
    <tableColumn id="14" name="Reproducibility"/>
    <tableColumn id="15" name="Reproducibility_Rationale"/>
    <tableColumn id="16" name="RQ_Coverage"/>
    <tableColumn id="17" name="Evidence_Status"/>
    <tableColumn id="18" name="Source_UR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70" customWidth="1" min="3" max="3"/>
    <col width="18" customWidth="1" min="4" max="4"/>
  </cols>
  <sheetData>
    <row r="1">
      <c r="A1" s="39" t="inlineStr">
        <is>
          <t>CB-CTT 2015–2026 — Data Extraction Summary</t>
        </is>
      </c>
      <c r="B1" s="27" t="n"/>
      <c r="C1" s="27" t="n"/>
      <c r="D1" s="27" t="n"/>
    </row>
    <row r="2">
      <c r="A2" s="27" t="n"/>
      <c r="B2" s="27" t="n"/>
      <c r="C2" s="27" t="n"/>
      <c r="D2" s="27" t="n"/>
    </row>
    <row r="3">
      <c r="A3" s="40" t="inlineStr">
        <is>
          <t>Metric</t>
        </is>
      </c>
      <c r="B3" s="40" t="inlineStr">
        <is>
          <t>Value</t>
        </is>
      </c>
      <c r="C3" s="40" t="inlineStr">
        <is>
          <t>Interpretation</t>
        </is>
      </c>
      <c r="D3" s="40" t="n"/>
    </row>
    <row r="4">
      <c r="A4" s="27" t="inlineStr">
        <is>
          <t>Primary studies</t>
        </is>
      </c>
      <c r="B4" s="27" t="n">
        <v>25</v>
      </c>
      <c r="C4" s="27" t="inlineStr">
        <is>
          <t>Final included studies</t>
        </is>
      </c>
      <c r="D4" s="27" t="n"/>
    </row>
    <row r="5">
      <c r="A5" s="27" t="inlineStr">
        <is>
          <t>ITC-2007 explicitly used</t>
        </is>
      </c>
      <c r="B5" s="27">
        <f>COUNTIF(Data_Extraction!F2:F26,"*ITC-2007*")</f>
        <v/>
      </c>
      <c r="C5" s="27" t="inlineStr">
        <is>
          <t>Studies explicitly naming ITC-2007 in extracted benchmark field</t>
        </is>
      </c>
      <c r="D5" s="27" t="n"/>
    </row>
    <row r="6">
      <c r="A6" s="27" t="inlineStr">
        <is>
          <t>Public code verified</t>
        </is>
      </c>
      <c r="B6" s="27">
        <f>COUNTIF(Data_Extraction!L2:L26,"Yes*")</f>
        <v/>
      </c>
      <c r="C6" s="27" t="inlineStr">
        <is>
          <t>Strictly verified public source code</t>
        </is>
      </c>
      <c r="D6" s="27" t="n"/>
    </row>
    <row r="7">
      <c r="A7" s="27" t="inlineStr">
        <is>
          <t>High reproducibility</t>
        </is>
      </c>
      <c r="B7" s="27">
        <f>COUNTIF(Data_Extraction!N2:N26,"Alta*")</f>
        <v/>
      </c>
      <c r="C7" s="27" t="inlineStr">
        <is>
          <t>Code + data + sufficiently specified protocol</t>
        </is>
      </c>
      <c r="D7" s="27" t="n"/>
    </row>
    <row r="8">
      <c r="A8" s="27" t="inlineStr">
        <is>
          <t>Medium/medium-high reproducibility</t>
        </is>
      </c>
      <c r="B8" s="27">
        <f>COUNTIF(Data_Extraction!N2:N26,"Media*")</f>
        <v/>
      </c>
      <c r="C8" s="27" t="inlineStr">
        <is>
          <t>Mostly public data/method, but code or experiment package incomplete</t>
        </is>
      </c>
      <c r="D8" s="27" t="n"/>
    </row>
    <row r="9">
      <c r="A9" s="27" t="inlineStr">
        <is>
          <t>Low/low-medium reproducibility</t>
        </is>
      </c>
      <c r="B9" s="27">
        <f>COUNTIF(Data_Extraction!N2:N26,"Baja*")</f>
        <v/>
      </c>
      <c r="C9" s="27" t="inlineStr">
        <is>
          <t>Institutional/private data or incomplete executable artifacts</t>
        </is>
      </c>
      <c r="D9" s="27" t="n"/>
    </row>
    <row r="10">
      <c r="A10" s="27" t="n"/>
      <c r="B10" s="27" t="n"/>
      <c r="C10" s="27" t="n"/>
      <c r="D10" s="27" t="n"/>
    </row>
    <row r="11">
      <c r="A11" s="27" t="n"/>
      <c r="B11" s="27" t="n"/>
      <c r="C11" s="27" t="n"/>
      <c r="D11" s="27" t="n"/>
    </row>
    <row r="12">
      <c r="A12" s="40" t="inlineStr">
        <is>
          <t>Reproducibility rubric</t>
        </is>
      </c>
      <c r="B12" s="27" t="n"/>
      <c r="C12" s="27" t="n"/>
      <c r="D12" s="27" t="n"/>
    </row>
    <row r="13">
      <c r="A13" s="27" t="inlineStr">
        <is>
          <t>Alta</t>
        </is>
      </c>
      <c r="B13" s="27" t="inlineStr">
        <is>
          <t>Public code + public data + detailed execution/configuration protocol.</t>
        </is>
      </c>
      <c r="C13" s="27" t="n"/>
      <c r="D13" s="27" t="n"/>
    </row>
    <row r="14">
      <c r="A14" s="27" t="inlineStr">
        <is>
          <t>Media</t>
        </is>
      </c>
      <c r="B14" s="27" t="inlineStr">
        <is>
          <t>Public benchmark/data and clear method; code/package or exact split/config not fully verified.</t>
        </is>
      </c>
      <c r="C14" s="27" t="n"/>
      <c r="D14" s="27" t="n"/>
    </row>
    <row r="15">
      <c r="A15" s="27" t="inlineStr">
        <is>
          <t>Baja</t>
        </is>
      </c>
      <c r="B15" s="27" t="inlineStr">
        <is>
          <t>Private/institutional data, missing executable artifacts, or insufficient experimental detail for independent rerun.</t>
        </is>
      </c>
      <c r="C15" s="27" t="n"/>
      <c r="D15" s="27" t="n"/>
    </row>
    <row r="16">
      <c r="A16" s="27" t="n"/>
      <c r="B16" s="27" t="n"/>
      <c r="C16" s="27" t="n"/>
      <c r="D16" s="27" t="n"/>
    </row>
    <row r="17">
      <c r="A17" s="27" t="n"/>
      <c r="B17" s="27" t="n"/>
      <c r="C17" s="27" t="n"/>
      <c r="D17" s="27" t="n"/>
    </row>
    <row r="18">
      <c r="A18" s="40" t="inlineStr">
        <is>
          <t>Important extraction rule</t>
        </is>
      </c>
      <c r="B18" s="27" t="n"/>
      <c r="C18" s="27" t="n"/>
      <c r="D18" s="27" t="n"/>
    </row>
    <row r="19">
      <c r="A19" s="27" t="inlineStr">
        <is>
          <t>When an exact number of instances, code repository, or experiment package could not be verified from accessible evidence, the field explicitly says “not verified” instead of inferring a value.</t>
        </is>
      </c>
      <c r="B19" s="27" t="n"/>
      <c r="C19" s="27" t="n"/>
      <c r="D19" s="27" t="n"/>
    </row>
    <row r="20">
      <c r="A20" s="27" t="n"/>
      <c r="B20" s="27" t="n"/>
      <c r="C20" s="27" t="n"/>
      <c r="D20" s="27" t="n"/>
    </row>
  </sheetData>
  <mergeCells count="4">
    <mergeCell ref="A1:D1"/>
    <mergeCell ref="A12:D12"/>
    <mergeCell ref="A18:D18"/>
    <mergeCell ref="A19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5" customWidth="1" min="3" max="3"/>
    <col width="72" customWidth="1" min="4" max="4"/>
    <col width="38" customWidth="1" min="5" max="5"/>
    <col width="32" customWidth="1" min="6" max="6"/>
    <col width="33" customWidth="1" min="7" max="7"/>
    <col width="25" customWidth="1" min="8" max="8"/>
    <col width="35" customWidth="1" min="9" max="9"/>
    <col width="48" customWidth="1" min="10" max="10"/>
    <col width="55" customWidth="1" min="11" max="11"/>
    <col width="48" customWidth="1" min="12" max="12"/>
    <col width="34" customWidth="1" min="13" max="13"/>
    <col width="46" customWidth="1" min="14" max="14"/>
    <col width="43" customWidth="1" min="15" max="15"/>
    <col width="28" customWidth="1" min="16" max="16"/>
    <col width="42" customWidth="1" min="17" max="17"/>
    <col width="30" customWidth="1" min="18" max="18"/>
    <col width="28" customWidth="1" min="19" max="19"/>
    <col width="27" customWidth="1" min="20" max="20"/>
    <col width="30" customWidth="1" min="21" max="21"/>
    <col width="70" customWidth="1" min="22" max="22"/>
    <col width="55" customWidth="1" min="23" max="23"/>
    <col width="28" customWidth="1" min="24" max="24"/>
    <col width="28" customWidth="1" min="25" max="25"/>
    <col width="52" customWidth="1" min="26" max="26"/>
    <col width="28" customWidth="1" min="27" max="27"/>
    <col width="52" customWidth="1" min="28" max="28"/>
    <col width="52" customWidth="1" min="29" max="29"/>
  </cols>
  <sheetData>
    <row r="1" ht="40" customHeight="1">
      <c r="A1" s="1" t="inlineStr">
        <is>
          <t>Paper_ID</t>
        </is>
      </c>
      <c r="B1" s="1" t="inlineStr">
        <is>
          <t>Year</t>
        </is>
      </c>
      <c r="C1" s="1" t="inlineStr">
        <is>
          <t>Authors</t>
        </is>
      </c>
      <c r="D1" s="1" t="inlineStr">
        <is>
          <t>Title</t>
        </is>
      </c>
      <c r="E1" s="1" t="inlineStr">
        <is>
          <t>Venue</t>
        </is>
      </c>
      <c r="F1" s="1" t="inlineStr">
        <is>
          <t>DOI</t>
        </is>
      </c>
      <c r="G1" s="1" t="inlineStr">
        <is>
          <t>Problem_Type</t>
        </is>
      </c>
      <c r="H1" s="1" t="inlineStr">
        <is>
          <t>Scope_Class</t>
        </is>
      </c>
      <c r="I1" s="1" t="inlineStr">
        <is>
          <t>Method_Family</t>
        </is>
      </c>
      <c r="J1" s="1" t="inlineStr">
        <is>
          <t>Method_Subfamily</t>
        </is>
      </c>
      <c r="K1" s="1" t="inlineStr">
        <is>
          <t>Specific_Method</t>
        </is>
      </c>
      <c r="L1" s="1" t="inlineStr">
        <is>
          <t>Benchmark_or_Data</t>
        </is>
      </c>
      <c r="M1" s="1" t="inlineStr">
        <is>
          <t>Instances</t>
        </is>
      </c>
      <c r="N1" s="1" t="inlineStr">
        <is>
          <t>Metrics</t>
        </is>
      </c>
      <c r="O1" s="1" t="inlineStr">
        <is>
          <t>Data_Availability</t>
        </is>
      </c>
      <c r="P1" s="1" t="inlineStr">
        <is>
          <t>Code_Availability</t>
        </is>
      </c>
      <c r="Q1" s="1" t="inlineStr">
        <is>
          <t>Reproducibility_Evidence</t>
        </is>
      </c>
      <c r="R1" s="1" t="inlineStr">
        <is>
          <t>RQ_Coverage</t>
        </is>
      </c>
      <c r="S1" s="1" t="inlineStr">
        <is>
          <t>Discovery_Source</t>
        </is>
      </c>
      <c r="T1" s="1" t="inlineStr">
        <is>
          <t>Screening_Decision</t>
        </is>
      </c>
      <c r="U1" s="1" t="inlineStr">
        <is>
          <t>Criteria_Met</t>
        </is>
      </c>
      <c r="V1" s="1" t="inlineStr">
        <is>
          <t>Decision_Reason</t>
        </is>
      </c>
      <c r="W1" s="1" t="inlineStr">
        <is>
          <t>Source_URL</t>
        </is>
      </c>
      <c r="X1" s="33" t="inlineStr">
        <is>
          <t>Final_Screening_Status</t>
        </is>
      </c>
      <c r="Y1" s="33" t="inlineStr">
        <is>
          <t>Corpus_Tier</t>
        </is>
      </c>
      <c r="Z1" s="33" t="inlineStr">
        <is>
          <t>Full_Text_Screening_Result</t>
        </is>
      </c>
      <c r="AA1" s="33" t="inlineStr">
        <is>
          <t>Evidence_Level</t>
        </is>
      </c>
      <c r="AB1" s="33" t="inlineStr">
        <is>
          <t>Final_Exclusion_or_Context_Reason</t>
        </is>
      </c>
      <c r="AC1" s="33" t="inlineStr">
        <is>
          <t>Screening_Evidence_URL</t>
        </is>
      </c>
    </row>
    <row r="2" ht="55" customHeight="1">
      <c r="A2" s="2" t="inlineStr">
        <is>
          <t>P001</t>
        </is>
      </c>
      <c r="B2" s="2" t="n">
        <v>2015</v>
      </c>
      <c r="C2" s="2" t="inlineStr">
        <is>
          <t>Bettinelli; Cacchiani; Roberti; Toth</t>
        </is>
      </c>
      <c r="D2" s="2" t="inlineStr">
        <is>
          <t>An overview of curriculum-based course timetabling</t>
        </is>
      </c>
      <c r="E2" s="2" t="inlineStr">
        <is>
          <t>TOP</t>
        </is>
      </c>
      <c r="F2" s="2" t="inlineStr">
        <is>
          <t>10.1007/s11750-015-0366-z</t>
        </is>
      </c>
      <c r="G2" s="2" t="inlineStr">
        <is>
          <t>CB-CTT</t>
        </is>
      </c>
      <c r="H2" s="3" t="inlineStr">
        <is>
          <t>CONTEXT_REVIEW</t>
        </is>
      </c>
      <c r="I2" s="2" t="inlineStr">
        <is>
          <t>Review / survey</t>
        </is>
      </c>
      <c r="J2" s="2" t="inlineStr">
        <is>
          <t>Review / taxonomy</t>
        </is>
      </c>
      <c r="K2" s="2" t="inlineStr">
        <is>
          <t>Mathematical models; lower bounds; exact and heuristic algorithms</t>
        </is>
      </c>
      <c r="L2" s="2" t="inlineStr">
        <is>
          <t>ITC-2007 + prior CB-CTT literature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No</t>
        </is>
      </c>
      <c r="Q2" s="2" t="inlineStr">
        <is>
          <t>No</t>
        </is>
      </c>
      <c r="R2" s="2" t="inlineStr">
        <is>
          <t>RQ1; RQ2</t>
        </is>
      </c>
      <c r="S2" s="2" t="inlineStr">
        <is>
          <t>Seed</t>
        </is>
      </c>
      <c r="T2" s="3" t="inlineStr">
        <is>
          <t>CONTEXT</t>
        </is>
      </c>
      <c r="U2" s="2" t="inlineStr">
        <is>
          <t>I1,I2,I6,I7</t>
        </is>
      </c>
      <c r="V2" s="2" t="inlineStr">
        <is>
          <t>Review rather than primary experiment; retained as historical/state-of-art anchor</t>
        </is>
      </c>
      <c r="W2" s="4" t="inlineStr">
        <is>
          <t>https://cris.unibo.it/handle/11585/515584</t>
        </is>
      </c>
      <c r="X2" s="27" t="inlineStr">
        <is>
          <t>CONTEXT_ONLY</t>
        </is>
      </c>
      <c r="Y2" s="27" t="inlineStr">
        <is>
          <t>REVIEW_CONTEXT</t>
        </is>
      </c>
      <c r="Z2" s="27" t="inlineStr">
        <is>
          <t>Revisión/survey: útil para antecedentes, benchmarks y snowballing, pero no se cuenta como estudio primario.</t>
        </is>
      </c>
      <c r="AA2" s="27" t="inlineStr">
        <is>
          <t>PUBLISHER_OR_REPOSITORY_RECORD</t>
        </is>
      </c>
      <c r="AB2" s="27" t="inlineStr">
        <is>
          <t>Revisión/survey: útil para antecedentes, benchmarks y snowballing, pero no se cuenta como estudio primario.</t>
        </is>
      </c>
      <c r="AC2" s="27" t="inlineStr">
        <is>
          <t>https://cris.unibo.it/handle/11585/515584</t>
        </is>
      </c>
    </row>
    <row r="3" ht="55" customHeight="1">
      <c r="A3" s="5" t="inlineStr">
        <is>
          <t>P002</t>
        </is>
      </c>
      <c r="B3" s="5" t="n">
        <v>2016</v>
      </c>
      <c r="C3" s="5" t="inlineStr">
        <is>
          <t>Bellio; Ceschia; Di Gaspero; Schaerf; Urli</t>
        </is>
      </c>
      <c r="D3" s="5" t="inlineStr">
        <is>
          <t>Feature-based tuning of simulated annealing applied to the curriculum-based course timetabling problem</t>
        </is>
      </c>
      <c r="E3" s="5" t="inlineStr">
        <is>
          <t>Computers &amp; Operations Research</t>
        </is>
      </c>
      <c r="F3" s="5" t="inlineStr">
        <is>
          <t>10.1016/j.cor.2015.07.002</t>
        </is>
      </c>
      <c r="G3" s="5" t="inlineStr">
        <is>
          <t>CB-CTT</t>
        </is>
      </c>
      <c r="H3" s="6" t="inlineStr">
        <is>
          <t>CORE_CB-CTT</t>
        </is>
      </c>
      <c r="I3" s="5" t="inlineStr">
        <is>
          <t>Metaheuristic / adaptive tuning</t>
        </is>
      </c>
      <c r="J3" s="5" t="inlineStr">
        <is>
          <t>Local search — Simulated Annealing + feature-based tuning</t>
        </is>
      </c>
      <c r="K3" s="5" t="inlineStr">
        <is>
          <t>Simulated Annealing + feature-based parameter tuning</t>
        </is>
      </c>
      <c r="L3" s="5" t="inlineStr">
        <is>
          <t>Multiple established CB-CTT benchmarks + new real-world instances</t>
        </is>
      </c>
      <c r="M3" s="5" t="inlineStr">
        <is>
          <t>Multiple</t>
        </is>
      </c>
      <c r="N3" s="5" t="inlineStr">
        <is>
          <t>Objective penalty; runtime/performance</t>
        </is>
      </c>
      <c r="O3" s="5" t="inlineStr">
        <is>
          <t>Yes (new real-world instances)</t>
        </is>
      </c>
      <c r="P3" s="5" t="inlineStr">
        <is>
          <t>Not verified</t>
        </is>
      </c>
      <c r="Q3" s="5" t="inlineStr">
        <is>
          <t>Yes/partial</t>
        </is>
      </c>
      <c r="R3" s="5" t="inlineStr">
        <is>
          <t>RQ1; RQ2; RQ3</t>
        </is>
      </c>
      <c r="S3" s="5" t="inlineStr">
        <is>
          <t>Seed</t>
        </is>
      </c>
      <c r="T3" s="6" t="inlineStr">
        <is>
          <t>INCLUDE</t>
        </is>
      </c>
      <c r="U3" s="5" t="inlineStr">
        <is>
          <t>I1,I2,I3,I4,I5,I6,I7</t>
        </is>
      </c>
      <c r="V3" s="5" t="inlineStr">
        <is>
          <t>Direct CB-CTT computational study; central for evolution from fixed parameters to adaptive tuning</t>
        </is>
      </c>
      <c r="W3" s="7" t="inlineStr">
        <is>
          <t>https://www.sciencedirect.com/science/article/pii/S0305054815001690</t>
        </is>
      </c>
      <c r="X3" s="27" t="inlineStr">
        <is>
          <t>INCLUDED_PRIMARY</t>
        </is>
      </c>
      <c r="Y3" s="27" t="inlineStr">
        <is>
          <t>CORE_CB-CTT</t>
        </is>
      </c>
      <c r="Z3" s="27" t="inlineStr">
        <is>
          <t>Cumple ventana 2015–2026 y aborda CB-CTT de forma directa o reporta resultados CB-CTT separables; se incluye en la síntesis primaria.</t>
        </is>
      </c>
      <c r="AA3" s="27" t="inlineStr">
        <is>
          <t>PUBLISHER_OR_REPOSITORY_RECORD</t>
        </is>
      </c>
      <c r="AB3" s="27" t="inlineStr"/>
      <c r="AC3" s="27" t="inlineStr">
        <is>
          <t>https://www.sciencedirect.com/science/article/pii/S0305054815001690</t>
        </is>
      </c>
    </row>
    <row r="4" ht="55" customHeight="1">
      <c r="A4" s="5" t="inlineStr">
        <is>
          <t>P011</t>
        </is>
      </c>
      <c r="B4" s="5" t="n">
        <v>2017</v>
      </c>
      <c r="C4" s="5" t="inlineStr">
        <is>
          <t>Kiefer; Hartl; Schnell</t>
        </is>
      </c>
      <c r="D4" s="5" t="inlineStr">
        <is>
          <t>Adaptive large neighborhood search for the curriculum-based course timetabling problem</t>
        </is>
      </c>
      <c r="E4" s="5" t="inlineStr">
        <is>
          <t>Annals of Operations Research</t>
        </is>
      </c>
      <c r="F4" s="5" t="inlineStr">
        <is>
          <t>10.1007/s10479-016-2151-2</t>
        </is>
      </c>
      <c r="G4" s="5" t="inlineStr">
        <is>
          <t>CB-CTT</t>
        </is>
      </c>
      <c r="H4" s="6" t="inlineStr">
        <is>
          <t>CORE_CB-CTT</t>
        </is>
      </c>
      <c r="I4" s="5" t="inlineStr">
        <is>
          <t>Metaheuristic / adaptive search</t>
        </is>
      </c>
      <c r="J4" s="5" t="inlineStr">
        <is>
          <t>Local search — adaptive large neighborhood search</t>
        </is>
      </c>
      <c r="K4" s="5" t="inlineStr">
        <is>
          <t>Adaptive Large Neighborhood Search (ALNS)</t>
        </is>
      </c>
      <c r="L4" s="5" t="inlineStr">
        <is>
          <t>ITC-2007 benchmark instances</t>
        </is>
      </c>
      <c r="M4" s="5" t="inlineStr">
        <is>
          <t>ITC-2007</t>
        </is>
      </c>
      <c r="N4" s="5" t="inlineStr">
        <is>
          <t>Objective penalty / best-known solutions</t>
        </is>
      </c>
      <c r="O4" s="5" t="inlineStr">
        <is>
          <t>Public benchmark</t>
        </is>
      </c>
      <c r="P4" s="5" t="inlineStr">
        <is>
          <t>Not verified</t>
        </is>
      </c>
      <c r="Q4" s="5" t="inlineStr">
        <is>
          <t>Partial</t>
        </is>
      </c>
      <c r="R4" s="5" t="inlineStr">
        <is>
          <t>RQ1; RQ3</t>
        </is>
      </c>
      <c r="S4" s="5" t="inlineStr">
        <is>
          <t>Snowballing</t>
        </is>
      </c>
      <c r="T4" s="6" t="inlineStr">
        <is>
          <t>INCLUDE</t>
        </is>
      </c>
      <c r="U4" s="5" t="inlineStr">
        <is>
          <t>I1,I2,I3,I4,I5,I6,I7</t>
        </is>
      </c>
      <c r="V4" s="5" t="inlineStr">
        <is>
          <t>Direct CB-CTT method; adaptive operator selection and strong benchmark results</t>
        </is>
      </c>
      <c r="W4" s="7" t="inlineStr">
        <is>
          <t>https://ideas.repec.org/a/spr/annopr/v252y2017i2d10.1007_s10479-016-2151-2.html</t>
        </is>
      </c>
      <c r="X4" s="27" t="inlineStr">
        <is>
          <t>INCLUDED_PRIMARY</t>
        </is>
      </c>
      <c r="Y4" s="27" t="inlineStr">
        <is>
          <t>CORE_CB-CTT</t>
        </is>
      </c>
      <c r="Z4" s="27" t="inlineStr">
        <is>
          <t>Cumple ventana 2015–2026 y aborda CB-CTT de forma directa o reporta resultados CB-CTT separables; se incluye en la síntesis primaria.</t>
        </is>
      </c>
      <c r="AA4" s="27" t="inlineStr">
        <is>
          <t>PUBLISHER_OR_REPOSITORY_RECORD</t>
        </is>
      </c>
      <c r="AB4" s="27" t="inlineStr"/>
      <c r="AC4" s="27" t="inlineStr">
        <is>
          <t>https://ideas.repec.org/a/spr/annopr/v252y2017i2d10.1007_s10479-016-2151-2.html</t>
        </is>
      </c>
    </row>
    <row r="5" ht="55" customHeight="1">
      <c r="A5" s="5" t="inlineStr">
        <is>
          <t>P012</t>
        </is>
      </c>
      <c r="B5" s="5" t="n">
        <v>2018</v>
      </c>
      <c r="C5" s="5" t="inlineStr">
        <is>
          <t>Bagger; Sørensen; Stidsen</t>
        </is>
      </c>
      <c r="D5" s="5" t="inlineStr">
        <is>
          <t>Benders’ decomposition for curriculum-based course timetabling</t>
        </is>
      </c>
      <c r="E5" s="5" t="inlineStr">
        <is>
          <t>Computers &amp; Operations Research</t>
        </is>
      </c>
      <c r="F5" s="5" t="inlineStr">
        <is>
          <t>10.1016/j.cor.2017.10.009</t>
        </is>
      </c>
      <c r="G5" s="5" t="inlineStr">
        <is>
          <t>CB-CTT</t>
        </is>
      </c>
      <c r="H5" s="6" t="inlineStr">
        <is>
          <t>CORE_CB-CTT</t>
        </is>
      </c>
      <c r="I5" s="5" t="inlineStr">
        <is>
          <t>Exact / decomposition</t>
        </is>
      </c>
      <c r="J5" s="5" t="inlineStr">
        <is>
          <t>Exact — Benders decomposition</t>
        </is>
      </c>
      <c r="K5" s="5" t="inlineStr">
        <is>
          <t>Benders decomposition + feasibility recovery heuristic</t>
        </is>
      </c>
      <c r="L5" s="5" t="inlineStr">
        <is>
          <t>CB-CTT benchmark datasets, including larger instances</t>
        </is>
      </c>
      <c r="M5" s="5" t="inlineStr">
        <is>
          <t>32 instances reported</t>
        </is>
      </c>
      <c r="N5" s="5" t="inlineStr">
        <is>
          <t>Lower bounds; feasibility; computational performance</t>
        </is>
      </c>
      <c r="O5" s="5" t="inlineStr">
        <is>
          <t>Public/benchmark</t>
        </is>
      </c>
      <c r="P5" s="5" t="inlineStr">
        <is>
          <t>Not verified</t>
        </is>
      </c>
      <c r="Q5" s="5" t="inlineStr">
        <is>
          <t>Partial</t>
        </is>
      </c>
      <c r="R5" s="5" t="inlineStr">
        <is>
          <t>RQ1; RQ2</t>
        </is>
      </c>
      <c r="S5" s="5" t="inlineStr">
        <is>
          <t>Snowballing</t>
        </is>
      </c>
      <c r="T5" s="6" t="inlineStr">
        <is>
          <t>INCLUDE</t>
        </is>
      </c>
      <c r="U5" s="5" t="inlineStr">
        <is>
          <t>I1,I2,I3,I4,I5,I6,I7</t>
        </is>
      </c>
      <c r="V5" s="5" t="inlineStr">
        <is>
          <t>Balances metaheuristic literature with exact/decomposition methods</t>
        </is>
      </c>
      <c r="W5" s="7" t="inlineStr">
        <is>
          <t>https://www.sciencedirect.com/science/article/abs/pii/S0305054817302733</t>
        </is>
      </c>
      <c r="X5" s="27" t="inlineStr">
        <is>
          <t>INCLUDED_PRIMARY</t>
        </is>
      </c>
      <c r="Y5" s="27" t="inlineStr">
        <is>
          <t>CORE_CB-CTT</t>
        </is>
      </c>
      <c r="Z5" s="27" t="inlineStr">
        <is>
          <t>Cumple ventana 2015–2026 y aborda CB-CTT de forma directa o reporta resultados CB-CTT separables; se incluye en la síntesis primaria.</t>
        </is>
      </c>
      <c r="AA5" s="27" t="inlineStr">
        <is>
          <t>PUBLISHER_OR_REPOSITORY_RECORD</t>
        </is>
      </c>
      <c r="AB5" s="27" t="inlineStr"/>
      <c r="AC5" s="27" t="inlineStr">
        <is>
          <t>https://www.sciencedirect.com/science/article/abs/pii/S0305054817302733</t>
        </is>
      </c>
    </row>
    <row r="6" ht="55" customHeight="1">
      <c r="A6" s="8" t="inlineStr">
        <is>
          <t>P013</t>
        </is>
      </c>
      <c r="B6" s="8" t="n">
        <v>2018</v>
      </c>
      <c r="C6" s="8" t="inlineStr">
        <is>
          <t>Lindahl; Sørensen; Stidsen</t>
        </is>
      </c>
      <c r="D6" s="8" t="inlineStr">
        <is>
          <t>A fix-and-optimize matheuristic for university timetabling</t>
        </is>
      </c>
      <c r="E6" s="8" t="inlineStr">
        <is>
          <t>Journal of Heuristics</t>
        </is>
      </c>
      <c r="F6" s="8" t="inlineStr">
        <is>
          <t>10.1007/s10732-018-9371-3</t>
        </is>
      </c>
      <c r="G6" s="8" t="inlineStr">
        <is>
          <t>University course timetabling / CB-related</t>
        </is>
      </c>
      <c r="H6" s="9" t="inlineStr">
        <is>
          <t>CORE_PENDING</t>
        </is>
      </c>
      <c r="I6" s="8" t="inlineStr">
        <is>
          <t>Matheuristic</t>
        </is>
      </c>
      <c r="J6" s="8" t="inlineStr">
        <is>
          <t>Matheuristic — MIP fix-and-optimize</t>
        </is>
      </c>
      <c r="K6" s="8" t="inlineStr">
        <is>
          <t>MIP-guided fix-and-optimize</t>
        </is>
      </c>
      <c r="L6" s="8" t="inlineStr">
        <is>
          <t>University course timetabling benchmarks</t>
        </is>
      </c>
      <c r="M6" s="8" t="inlineStr">
        <is>
          <t>To verify at full text</t>
        </is>
      </c>
      <c r="N6" s="8" t="inlineStr">
        <is>
          <t>Solution quality; time</t>
        </is>
      </c>
      <c r="O6" s="8" t="inlineStr">
        <is>
          <t>To verify</t>
        </is>
      </c>
      <c r="P6" s="8" t="inlineStr">
        <is>
          <t>Not verified</t>
        </is>
      </c>
      <c r="Q6" s="8" t="inlineStr">
        <is>
          <t>Partial</t>
        </is>
      </c>
      <c r="R6" s="8" t="inlineStr">
        <is>
          <t>RQ1; RQ3</t>
        </is>
      </c>
      <c r="S6" s="8" t="inlineStr">
        <is>
          <t>Snowballing</t>
        </is>
      </c>
      <c r="T6" s="9" t="inlineStr">
        <is>
          <t>INCLUDE-PENDING</t>
        </is>
      </c>
      <c r="U6" s="8" t="inlineStr">
        <is>
          <t>I1,I3,I4,I6,I7</t>
        </is>
      </c>
      <c r="V6" s="8" t="inlineStr">
        <is>
          <t>Relevant matheuristic; full text must confirm exact CB-CTT formulation/benchmark before core inclusion</t>
        </is>
      </c>
      <c r="W6" s="10" t="inlineStr">
        <is>
          <t>https://ideas.repec.org/a/spr/joheur/v24y2018i4d10.1007_s10732-018-9371-3.html</t>
        </is>
      </c>
      <c r="X6" s="27" t="inlineStr">
        <is>
          <t>INCLUDED_PRIMARY</t>
        </is>
      </c>
      <c r="Y6" s="27" t="inlineStr">
        <is>
          <t>CORE_CB-CTT</t>
        </is>
      </c>
      <c r="Z6" s="27" t="inlineStr">
        <is>
          <t>Cumple ventana 2015–2026 y aborda CB-CTT de forma directa o reporta resultados CB-CTT separables; se incluye en la síntesis primaria.</t>
        </is>
      </c>
      <c r="AA6" s="27" t="inlineStr">
        <is>
          <t>PUBLISHER_OR_REPOSITORY_RECORD</t>
        </is>
      </c>
      <c r="AB6" s="27" t="inlineStr"/>
      <c r="AC6" s="27" t="inlineStr">
        <is>
          <t>https://ideas.repec.org/a/spr/joheur/v24y2018i4d10.1007_s10732-018-9371-3.html</t>
        </is>
      </c>
    </row>
    <row r="7" ht="55" customHeight="1">
      <c r="A7" s="11" t="inlineStr">
        <is>
          <t>P014</t>
        </is>
      </c>
      <c r="B7" s="11" t="n">
        <v>2018</v>
      </c>
      <c r="C7" s="11" t="inlineStr">
        <is>
          <t>Akkan; Gülcü</t>
        </is>
      </c>
      <c r="D7" s="11" t="inlineStr">
        <is>
          <t>A bi-criteria hybrid Genetic Algorithm with robustness objective for the course timetabling problem</t>
        </is>
      </c>
      <c r="E7" s="11" t="inlineStr">
        <is>
          <t>Computers &amp; Operations Research</t>
        </is>
      </c>
      <c r="F7" s="11" t="inlineStr">
        <is>
          <t>10.1016/j.cor.2017.09.007</t>
        </is>
      </c>
      <c r="G7" s="11" t="inlineStr">
        <is>
          <t>CB-CTT extension</t>
        </is>
      </c>
      <c r="H7" s="12" t="inlineStr">
        <is>
          <t>CB-CTT_EXTENSION</t>
        </is>
      </c>
      <c r="I7" s="11" t="inlineStr">
        <is>
          <t>Hybrid metaheuristic / robustness</t>
        </is>
      </c>
      <c r="J7" s="11" t="inlineStr">
        <is>
          <t>Evolutionary / hybrid — GA + HC + SA</t>
        </is>
      </c>
      <c r="K7" s="11" t="inlineStr">
        <is>
          <t>Multi-objective GA + Hill Climbing + Simulated Annealing</t>
        </is>
      </c>
      <c r="L7" s="11" t="inlineStr">
        <is>
          <t>ITC-2007 CB-CTT</t>
        </is>
      </c>
      <c r="M7" s="11" t="inlineStr">
        <is>
          <t>21 ITC-2007 instances</t>
        </is>
      </c>
      <c r="N7" s="11" t="inlineStr">
        <is>
          <t>Penalty + robustness / Pareto front</t>
        </is>
      </c>
      <c r="O7" s="11" t="inlineStr">
        <is>
          <t>Public benchmark</t>
        </is>
      </c>
      <c r="P7" s="11" t="inlineStr">
        <is>
          <t>Not verified</t>
        </is>
      </c>
      <c r="Q7" s="11" t="inlineStr">
        <is>
          <t>Partial</t>
        </is>
      </c>
      <c r="R7" s="11" t="inlineStr">
        <is>
          <t>RQ1; RQ2; RQ3</t>
        </is>
      </c>
      <c r="S7" s="11" t="inlineStr">
        <is>
          <t>Forward expansion</t>
        </is>
      </c>
      <c r="T7" s="12" t="inlineStr">
        <is>
          <t>INCLUDE-EXTENSION</t>
        </is>
      </c>
      <c r="U7" s="11" t="inlineStr">
        <is>
          <t>I1,I2,I3,I4,I5,I6,I7</t>
        </is>
      </c>
      <c r="V7" s="11" t="inlineStr">
        <is>
          <t>Direct CB-CTT but adds robustness objective; keep separate from standard objective comparisons</t>
        </is>
      </c>
      <c r="W7" s="13" t="inlineStr">
        <is>
          <t>https://www.sciencedirect.com/science/article/pii/S0305054817302307</t>
        </is>
      </c>
      <c r="X7" s="27" t="inlineStr">
        <is>
          <t>INCLUDED_PRIMARY</t>
        </is>
      </c>
      <c r="Y7" s="27" t="inlineStr">
        <is>
          <t>CB-CTT_EXTENSION</t>
        </is>
      </c>
      <c r="Z7" s="27" t="inlineStr">
        <is>
          <t>Extensión explícita de CB-CTT (robustez, disrupciones, student flow/sectioning o caso real). Se incluye como evidencia secundaria, sin mezclar sus objetivos con el benchmark estándar.</t>
        </is>
      </c>
      <c r="AA7" s="27" t="inlineStr">
        <is>
          <t>PUBLISHER_OR_REPOSITORY_RECORD</t>
        </is>
      </c>
      <c r="AB7" s="27" t="inlineStr"/>
      <c r="AC7" s="27" t="inlineStr">
        <is>
          <t>https://www.sciencedirect.com/science/article/pii/S0305054817302307</t>
        </is>
      </c>
    </row>
    <row r="8" ht="55" customHeight="1">
      <c r="A8" s="5" t="inlineStr">
        <is>
          <t>P003</t>
        </is>
      </c>
      <c r="B8" s="5" t="n">
        <v>2019</v>
      </c>
      <c r="C8" s="5" t="inlineStr">
        <is>
          <t>Banbara; Inoue; Kaufmann; Okimoto; Schaub; Soh; Tamura; Wanko</t>
        </is>
      </c>
      <c r="D8" s="5" t="inlineStr">
        <is>
          <t>Teaspoon: Solving the curriculum-based course timetabling problems with answer set programming</t>
        </is>
      </c>
      <c r="E8" s="5" t="inlineStr">
        <is>
          <t>Annals of Operations Research</t>
        </is>
      </c>
      <c r="F8" s="5" t="inlineStr">
        <is>
          <t>10.1007/s10479-018-2757-7</t>
        </is>
      </c>
      <c r="G8" s="5" t="inlineStr">
        <is>
          <t>CB-CTT</t>
        </is>
      </c>
      <c r="H8" s="6" t="inlineStr">
        <is>
          <t>CORE_CB-CTT</t>
        </is>
      </c>
      <c r="I8" s="5" t="inlineStr">
        <is>
          <t>Declarative / constraint-based</t>
        </is>
      </c>
      <c r="J8" s="5" t="inlineStr">
        <is>
          <t>Declarative / constraint-based — ASP</t>
        </is>
      </c>
      <c r="K8" s="5" t="inlineStr">
        <is>
          <t>Answer Set Programming (ASP)</t>
        </is>
      </c>
      <c r="L8" s="5" t="inlineStr">
        <is>
          <t>CB-CTT benchmark instances</t>
        </is>
      </c>
      <c r="M8" s="5" t="inlineStr">
        <is>
          <t>Standard benchmark set</t>
        </is>
      </c>
      <c r="N8" s="5" t="inlineStr">
        <is>
          <t>Objective quality; solver performance</t>
        </is>
      </c>
      <c r="O8" s="5" t="inlineStr">
        <is>
          <t>Public benchmark</t>
        </is>
      </c>
      <c r="P8" s="5" t="inlineStr">
        <is>
          <t>Not verified</t>
        </is>
      </c>
      <c r="Q8" s="5" t="inlineStr">
        <is>
          <t>Partial</t>
        </is>
      </c>
      <c r="R8" s="5" t="inlineStr">
        <is>
          <t>RQ1; RQ2</t>
        </is>
      </c>
      <c r="S8" s="5" t="inlineStr">
        <is>
          <t>Seed</t>
        </is>
      </c>
      <c r="T8" s="6" t="inlineStr">
        <is>
          <t>INCLUDE</t>
        </is>
      </c>
      <c r="U8" s="5" t="inlineStr">
        <is>
          <t>I1,I2,I3,I4,I5,I6,I7</t>
        </is>
      </c>
      <c r="V8" s="5" t="inlineStr">
        <is>
          <t>Important non-metaheuristic family; direct CB-CTT solver</t>
        </is>
      </c>
      <c r="W8" s="7" t="inlineStr">
        <is>
          <t>https://doi.org/10.1007/s10479-018-2757-7</t>
        </is>
      </c>
      <c r="X8" s="27" t="inlineStr">
        <is>
          <t>INCLUDED_PRIMARY</t>
        </is>
      </c>
      <c r="Y8" s="27" t="inlineStr">
        <is>
          <t>CORE_CB-CTT</t>
        </is>
      </c>
      <c r="Z8" s="27" t="inlineStr">
        <is>
          <t>Cumple ventana 2015–2026 y aborda CB-CTT de forma directa o reporta resultados CB-CTT separables; se incluye en la síntesis primaria.</t>
        </is>
      </c>
      <c r="AA8" s="27" t="inlineStr">
        <is>
          <t>PUBLISHER_OR_REPOSITORY_RECORD</t>
        </is>
      </c>
      <c r="AB8" s="27" t="inlineStr"/>
      <c r="AC8" s="27" t="inlineStr">
        <is>
          <t>https://doi.org/10.1007/s10479-018-2757-7</t>
        </is>
      </c>
    </row>
    <row r="9" ht="55" customHeight="1">
      <c r="A9" s="5" t="inlineStr">
        <is>
          <t>P015</t>
        </is>
      </c>
      <c r="B9" s="5" t="n">
        <v>2019</v>
      </c>
      <c r="C9" s="5" t="inlineStr">
        <is>
          <t>Bagger; Desaulniers; Desrosiers</t>
        </is>
      </c>
      <c r="D9" s="5" t="inlineStr">
        <is>
          <t>Daily course pattern formulation and valid inequalities for the curriculum-based course timetabling problem</t>
        </is>
      </c>
      <c r="E9" s="5" t="inlineStr">
        <is>
          <t>Journal of Scheduling</t>
        </is>
      </c>
      <c r="F9" s="5" t="inlineStr">
        <is>
          <t>10.1007/s10951-018-0582-0</t>
        </is>
      </c>
      <c r="G9" s="5" t="inlineStr">
        <is>
          <t>CB-CTT</t>
        </is>
      </c>
      <c r="H9" s="6" t="inlineStr">
        <is>
          <t>CORE_CB-CTT</t>
        </is>
      </c>
      <c r="I9" s="5" t="inlineStr">
        <is>
          <t>Exact / integer programming</t>
        </is>
      </c>
      <c r="J9" s="5" t="inlineStr">
        <is>
          <t>Exact — integer programming / daily patterns</t>
        </is>
      </c>
      <c r="K9" s="5" t="inlineStr">
        <is>
          <t>Daily course pattern formulation + preprocessing + valid inequalities</t>
        </is>
      </c>
      <c r="L9" s="5" t="inlineStr">
        <is>
          <t>ITC-2007 real-world benchmark</t>
        </is>
      </c>
      <c r="M9" s="5" t="inlineStr">
        <is>
          <t>21 instances</t>
        </is>
      </c>
      <c r="N9" s="5" t="inlineStr">
        <is>
          <t>Lower bounds; optimality proofs</t>
        </is>
      </c>
      <c r="O9" s="5" t="inlineStr">
        <is>
          <t>Public benchmark</t>
        </is>
      </c>
      <c r="P9" s="5" t="inlineStr">
        <is>
          <t>Not verified</t>
        </is>
      </c>
      <c r="Q9" s="5" t="inlineStr">
        <is>
          <t>High</t>
        </is>
      </c>
      <c r="R9" s="5" t="inlineStr">
        <is>
          <t>RQ1; RQ2</t>
        </is>
      </c>
      <c r="S9" s="5" t="inlineStr">
        <is>
          <t>Snowballing</t>
        </is>
      </c>
      <c r="T9" s="6" t="inlineStr">
        <is>
          <t>INCLUDE</t>
        </is>
      </c>
      <c r="U9" s="5" t="inlineStr">
        <is>
          <t>I1,I2,I3,I4,I5,I6,I7</t>
        </is>
      </c>
      <c r="V9" s="5" t="inlineStr">
        <is>
          <t>Proves optimality on 17/21 instances; key exact-method reference</t>
        </is>
      </c>
      <c r="W9" s="7" t="inlineStr">
        <is>
          <t>https://ideas.repec.org/a/spr/jsched/v22y2019i2d10.1007_s10951-018-0582-0.html</t>
        </is>
      </c>
      <c r="X9" s="27" t="inlineStr">
        <is>
          <t>INCLUDED_PRIMARY</t>
        </is>
      </c>
      <c r="Y9" s="27" t="inlineStr">
        <is>
          <t>CORE_CB-CTT</t>
        </is>
      </c>
      <c r="Z9" s="27" t="inlineStr">
        <is>
          <t>Cumple ventana 2015–2026 y aborda CB-CTT de forma directa o reporta resultados CB-CTT separables; se incluye en la síntesis primaria.</t>
        </is>
      </c>
      <c r="AA9" s="27" t="inlineStr">
        <is>
          <t>PUBLISHER_OR_REPOSITORY_RECORD</t>
        </is>
      </c>
      <c r="AB9" s="27" t="inlineStr"/>
      <c r="AC9" s="27" t="inlineStr">
        <is>
          <t>https://ideas.repec.org/a/spr/jsched/v22y2019i2d10.1007_s10951-018-0582-0.html</t>
        </is>
      </c>
    </row>
    <row r="10" ht="55" customHeight="1">
      <c r="A10" s="5" t="inlineStr">
        <is>
          <t>P016</t>
        </is>
      </c>
      <c r="B10" s="5" t="n">
        <v>2019</v>
      </c>
      <c r="C10" s="5" t="inlineStr">
        <is>
          <t>Bagger; Sørensen; Stidsen</t>
        </is>
      </c>
      <c r="D10" s="5" t="inlineStr">
        <is>
          <t>Dantzig–Wolfe decomposition of the daily course pattern formulation for curriculum-based course timetabling</t>
        </is>
      </c>
      <c r="E10" s="5" t="inlineStr">
        <is>
          <t>European Journal of Operational Research</t>
        </is>
      </c>
      <c r="F10" s="5" t="inlineStr">
        <is>
          <t>10.1016/j.ejor.2018.06.042</t>
        </is>
      </c>
      <c r="G10" s="5" t="inlineStr">
        <is>
          <t>CB-CTT</t>
        </is>
      </c>
      <c r="H10" s="6" t="inlineStr">
        <is>
          <t>CORE_CB-CTT</t>
        </is>
      </c>
      <c r="I10" s="5" t="inlineStr">
        <is>
          <t>Exact / decomposition</t>
        </is>
      </c>
      <c r="J10" s="5" t="inlineStr">
        <is>
          <t>Exact — Dantzig-Wolfe / column generation</t>
        </is>
      </c>
      <c r="K10" s="5" t="inlineStr">
        <is>
          <t>Dantzig–Wolfe reformulation + Column Generation + Local Branching</t>
        </is>
      </c>
      <c r="L10" s="5" t="inlineStr">
        <is>
          <t>CB-CTT real-world benchmark</t>
        </is>
      </c>
      <c r="M10" s="5" t="inlineStr">
        <is>
          <t>20 instances</t>
        </is>
      </c>
      <c r="N10" s="5" t="inlineStr">
        <is>
          <t>Lower bounds; optimality gap</t>
        </is>
      </c>
      <c r="O10" s="5" t="inlineStr">
        <is>
          <t>Public benchmark</t>
        </is>
      </c>
      <c r="P10" s="5" t="inlineStr">
        <is>
          <t>Not verified</t>
        </is>
      </c>
      <c r="Q10" s="5" t="inlineStr">
        <is>
          <t>High</t>
        </is>
      </c>
      <c r="R10" s="5" t="inlineStr">
        <is>
          <t>RQ1; RQ2</t>
        </is>
      </c>
      <c r="S10" s="5" t="inlineStr">
        <is>
          <t>Snowballing</t>
        </is>
      </c>
      <c r="T10" s="6" t="inlineStr">
        <is>
          <t>INCLUDE</t>
        </is>
      </c>
      <c r="U10" s="5" t="inlineStr">
        <is>
          <t>I1,I2,I3,I4,I5,I6,I7</t>
        </is>
      </c>
      <c r="V10" s="5" t="inlineStr">
        <is>
          <t>Improves lower bounds on open benchmark instances</t>
        </is>
      </c>
      <c r="W10" s="7" t="inlineStr">
        <is>
          <t>https://www.sciencedirect.com/science/article/pii/S0377221718305794</t>
        </is>
      </c>
      <c r="X10" s="27" t="inlineStr">
        <is>
          <t>INCLUDED_PRIMARY</t>
        </is>
      </c>
      <c r="Y10" s="27" t="inlineStr">
        <is>
          <t>CORE_CB-CTT</t>
        </is>
      </c>
      <c r="Z10" s="27" t="inlineStr">
        <is>
          <t>Cumple ventana 2015–2026 y aborda CB-CTT de forma directa o reporta resultados CB-CTT separables; se incluye en la síntesis primaria.</t>
        </is>
      </c>
      <c r="AA10" s="27" t="inlineStr">
        <is>
          <t>PUBLISHER_OR_REPOSITORY_RECORD</t>
        </is>
      </c>
      <c r="AB10" s="27" t="inlineStr"/>
      <c r="AC10" s="27" t="inlineStr">
        <is>
          <t>https://www.sciencedirect.com/science/article/pii/S0377221718305794</t>
        </is>
      </c>
    </row>
    <row r="11" ht="55" customHeight="1">
      <c r="A11" s="5" t="inlineStr">
        <is>
          <t>P017</t>
        </is>
      </c>
      <c r="B11" s="5" t="n">
        <v>2019</v>
      </c>
      <c r="C11" s="5" t="inlineStr">
        <is>
          <t>Bagger; Kristiansen; Sørensen; Stidsen</t>
        </is>
      </c>
      <c r="D11" s="5" t="inlineStr">
        <is>
          <t>Flow formulations for curriculum-based course timetabling</t>
        </is>
      </c>
      <c r="E11" s="5" t="inlineStr">
        <is>
          <t>Annals of Operations Research</t>
        </is>
      </c>
      <c r="F11" s="5" t="inlineStr">
        <is>
          <t>10.1007/s10479-018-3096-4</t>
        </is>
      </c>
      <c r="G11" s="5" t="inlineStr">
        <is>
          <t>CB-CTT</t>
        </is>
      </c>
      <c r="H11" s="6" t="inlineStr">
        <is>
          <t>CORE_CB-CTT</t>
        </is>
      </c>
      <c r="I11" s="5" t="inlineStr">
        <is>
          <t>Exact / MIP</t>
        </is>
      </c>
      <c r="J11" s="5" t="inlineStr">
        <is>
          <t>Exact — network-flow MIP</t>
        </is>
      </c>
      <c r="K11" s="5" t="inlineStr">
        <is>
          <t>Minimum-cost flow + multi-commodity flow formulations</t>
        </is>
      </c>
      <c r="L11" s="5" t="inlineStr">
        <is>
          <t>ITC-2007 benchmark</t>
        </is>
      </c>
      <c r="M11" s="5" t="inlineStr">
        <is>
          <t>Benchmark set</t>
        </is>
      </c>
      <c r="N11" s="5" t="inlineStr">
        <is>
          <t>Lower bounds; model performance</t>
        </is>
      </c>
      <c r="O11" s="5" t="inlineStr">
        <is>
          <t>Public benchmark</t>
        </is>
      </c>
      <c r="P11" s="5" t="inlineStr">
        <is>
          <t>Not verified</t>
        </is>
      </c>
      <c r="Q11" s="5" t="inlineStr">
        <is>
          <t>High</t>
        </is>
      </c>
      <c r="R11" s="5" t="inlineStr">
        <is>
          <t>RQ1; RQ2</t>
        </is>
      </c>
      <c r="S11" s="5" t="inlineStr">
        <is>
          <t>Snowballing</t>
        </is>
      </c>
      <c r="T11" s="6" t="inlineStr">
        <is>
          <t>INCLUDE</t>
        </is>
      </c>
      <c r="U11" s="5" t="inlineStr">
        <is>
          <t>I1,I2,I3,I4,I5,I6,I7</t>
        </is>
      </c>
      <c r="V11" s="5" t="inlineStr">
        <is>
          <t>Direct CB-CTT mathematical formulations exploiting network structure</t>
        </is>
      </c>
      <c r="W11" s="7" t="inlineStr">
        <is>
          <t>https://ideas.repec.org/a/spr/annopr/v280y2019i1d10.1007_s10479-018-3096-4.html</t>
        </is>
      </c>
      <c r="X11" s="27" t="inlineStr">
        <is>
          <t>INCLUDED_PRIMARY</t>
        </is>
      </c>
      <c r="Y11" s="27" t="inlineStr">
        <is>
          <t>CORE_CB-CTT</t>
        </is>
      </c>
      <c r="Z11" s="27" t="inlineStr">
        <is>
          <t>Cumple ventana 2015–2026 y aborda CB-CTT de forma directa o reporta resultados CB-CTT separables; se incluye en la síntesis primaria.</t>
        </is>
      </c>
      <c r="AA11" s="27" t="inlineStr">
        <is>
          <t>PUBLISHER_OR_REPOSITORY_RECORD</t>
        </is>
      </c>
      <c r="AB11" s="27" t="inlineStr"/>
      <c r="AC11" s="27" t="inlineStr">
        <is>
          <t>https://ideas.repec.org/a/spr/annopr/v280y2019i1d10.1007_s10479-018-3096-4.html</t>
        </is>
      </c>
    </row>
    <row r="12" ht="55" customHeight="1">
      <c r="A12" s="11" t="inlineStr">
        <is>
          <t>P004</t>
        </is>
      </c>
      <c r="B12" s="11" t="n">
        <v>2020</v>
      </c>
      <c r="C12" s="11" t="inlineStr">
        <is>
          <t>Caramia; Giordani</t>
        </is>
      </c>
      <c r="D12" s="11" t="inlineStr">
        <is>
          <t>Curriculum-Based Course Timetabling with Student Flow, Soft Constraints, and Smoothing Objectives: an Application to a Real Case Study</t>
        </is>
      </c>
      <c r="E12" s="11" t="inlineStr">
        <is>
          <t>SN Operations Research Forum</t>
        </is>
      </c>
      <c r="F12" s="11" t="inlineStr">
        <is>
          <t>10.1007/s43069-020-0013-x</t>
        </is>
      </c>
      <c r="G12" s="11" t="inlineStr">
        <is>
          <t>CB-CTT real-world extension</t>
        </is>
      </c>
      <c r="H12" s="12" t="inlineStr">
        <is>
          <t>CB-CTT_EXTENSION</t>
        </is>
      </c>
      <c r="I12" s="11" t="inlineStr">
        <is>
          <t>Mathematical programming / multi-objective</t>
        </is>
      </c>
      <c r="J12" s="11" t="inlineStr">
        <is>
          <t>Exact / multi-objective — MIP</t>
        </is>
      </c>
      <c r="K12" s="11" t="inlineStr">
        <is>
          <t>Multi-objective mixed-integer model</t>
        </is>
      </c>
      <c r="L12" s="11" t="inlineStr">
        <is>
          <t>University of Rome Tor Vergata real case</t>
        </is>
      </c>
      <c r="M12" s="11" t="inlineStr">
        <is>
          <t>Institutional case study</t>
        </is>
      </c>
      <c r="N12" s="11" t="inlineStr">
        <is>
          <t>Student flow; conflicts; smoothing; solution quality</t>
        </is>
      </c>
      <c r="O12" s="11" t="inlineStr">
        <is>
          <t>Institutional</t>
        </is>
      </c>
      <c r="P12" s="11" t="inlineStr">
        <is>
          <t>No public code verified</t>
        </is>
      </c>
      <c r="Q12" s="11" t="inlineStr">
        <is>
          <t>Partial</t>
        </is>
      </c>
      <c r="R12" s="11" t="inlineStr">
        <is>
          <t>RQ1; RQ2</t>
        </is>
      </c>
      <c r="S12" s="11" t="inlineStr">
        <is>
          <t>Seed</t>
        </is>
      </c>
      <c r="T12" s="12" t="inlineStr">
        <is>
          <t>INCLUDE-EXTENSION</t>
        </is>
      </c>
      <c r="U12" s="11" t="inlineStr">
        <is>
          <t>I1,I2,I3,I4,I5,I6,I7</t>
        </is>
      </c>
      <c r="V12" s="11" t="inlineStr">
        <is>
          <t>Real-world extension; not directly comparable to standard ITC objective</t>
        </is>
      </c>
      <c r="W12" s="13" t="inlineStr">
        <is>
          <t>https://ideas.repec.org/a/spr/snopef/v1y2020i2d10.1007_s43069-020-0013-x.html</t>
        </is>
      </c>
      <c r="X12" s="27" t="inlineStr">
        <is>
          <t>INCLUDED_PRIMARY</t>
        </is>
      </c>
      <c r="Y12" s="27" t="inlineStr">
        <is>
          <t>CB-CTT_EXTENSION</t>
        </is>
      </c>
      <c r="Z12" s="27" t="inlineStr">
        <is>
          <t>Extensión explícita de CB-CTT (robustez, disrupciones, student flow/sectioning o caso real). Se incluye como evidencia secundaria, sin mezclar sus objetivos con el benchmark estándar.</t>
        </is>
      </c>
      <c r="AA12" s="27" t="inlineStr">
        <is>
          <t>PUBLISHER_OR_REPOSITORY_RECORD</t>
        </is>
      </c>
      <c r="AB12" s="27" t="inlineStr"/>
      <c r="AC12" s="27" t="inlineStr">
        <is>
          <t>https://ideas.repec.org/a/spr/snopef/v1y2020i2d10.1007_s43069-020-0013-x.html</t>
        </is>
      </c>
    </row>
    <row r="13" ht="55" customHeight="1">
      <c r="A13" s="5" t="inlineStr">
        <is>
          <t>P005</t>
        </is>
      </c>
      <c r="B13" s="5" t="n">
        <v>2021</v>
      </c>
      <c r="C13" s="5" t="inlineStr">
        <is>
          <t>de la Rosa-Rivera; Nunez-Varela; Ortiz-Bayliss; Terashima-Marín</t>
        </is>
      </c>
      <c r="D13" s="5" t="inlineStr">
        <is>
          <t>Algorithm selection for solving educational timetabling problems</t>
        </is>
      </c>
      <c r="E13" s="5" t="inlineStr">
        <is>
          <t>Expert Systems with Applications</t>
        </is>
      </c>
      <c r="F13" s="5" t="inlineStr">
        <is>
          <t>10.1016/j.eswa.2021.114694</t>
        </is>
      </c>
      <c r="G13" s="5" t="inlineStr">
        <is>
          <t>CB-CTT</t>
        </is>
      </c>
      <c r="H13" s="6" t="inlineStr">
        <is>
          <t>CORE_CB-CTT</t>
        </is>
      </c>
      <c r="I13" s="5" t="inlineStr">
        <is>
          <t>ML-assisted optimization</t>
        </is>
      </c>
      <c r="J13" s="5" t="inlineStr">
        <is>
          <t>ML-assisted — per-instance algorithm selection</t>
        </is>
      </c>
      <c r="K13" s="5" t="inlineStr">
        <is>
          <t>Per-instance algorithm selection; classifier + regression over four metaheuristics</t>
        </is>
      </c>
      <c r="L13" s="5" t="inlineStr">
        <is>
          <t>CB-CTT instances / problem sub-spaces</t>
        </is>
      </c>
      <c r="M13" s="5" t="inlineStr">
        <is>
          <t>Multiple instances</t>
        </is>
      </c>
      <c r="N13" s="5" t="inlineStr">
        <is>
          <t>Prediction/performance of selected algorithm</t>
        </is>
      </c>
      <c r="O13" s="5" t="inlineStr">
        <is>
          <t>Benchmark/public instances</t>
        </is>
      </c>
      <c r="P13" s="5" t="inlineStr">
        <is>
          <t>Not verified</t>
        </is>
      </c>
      <c r="Q13" s="5" t="inlineStr">
        <is>
          <t>Partial</t>
        </is>
      </c>
      <c r="R13" s="5" t="inlineStr">
        <is>
          <t>RQ3</t>
        </is>
      </c>
      <c r="S13" s="5" t="inlineStr">
        <is>
          <t>Seed</t>
        </is>
      </c>
      <c r="T13" s="6" t="inlineStr">
        <is>
          <t>INCLUDE</t>
        </is>
      </c>
      <c r="U13" s="5" t="inlineStr">
        <is>
          <t>I1,I2,I3,I4,I5,I6,I7</t>
        </is>
      </c>
      <c r="V13" s="5" t="inlineStr">
        <is>
          <t>Core evidence for ML used to select algorithms rather than replace optimization</t>
        </is>
      </c>
      <c r="W13" s="7" t="inlineStr">
        <is>
          <t>https://www.sciencedirect.com/science/article/pii/S0957417421001354</t>
        </is>
      </c>
      <c r="X13" s="27" t="inlineStr">
        <is>
          <t>INCLUDED_PRIMARY</t>
        </is>
      </c>
      <c r="Y13" s="27" t="inlineStr">
        <is>
          <t>CORE_CB-CTT</t>
        </is>
      </c>
      <c r="Z13" s="27" t="inlineStr">
        <is>
          <t>Cumple ventana 2015–2026 y aborda CB-CTT de forma directa o reporta resultados CB-CTT separables; se incluye en la síntesis primaria.</t>
        </is>
      </c>
      <c r="AA13" s="27" t="inlineStr">
        <is>
          <t>PUBLISHER_OR_REPOSITORY_RECORD</t>
        </is>
      </c>
      <c r="AB13" s="27" t="inlineStr"/>
      <c r="AC13" s="27" t="inlineStr">
        <is>
          <t>https://www.sciencedirect.com/science/article/pii/S0957417421001354</t>
        </is>
      </c>
    </row>
    <row r="14" ht="55" customHeight="1">
      <c r="A14" s="5" t="inlineStr">
        <is>
          <t>P018</t>
        </is>
      </c>
      <c r="B14" s="5" t="n">
        <v>2021</v>
      </c>
      <c r="C14" s="5" t="inlineStr">
        <is>
          <t>Song; Chen; Xu; Wang; Song; Tang</t>
        </is>
      </c>
      <c r="D14" s="5" t="inlineStr">
        <is>
          <t>Competition-guided multi-neighborhood local search algorithm for the university course timetabling problem</t>
        </is>
      </c>
      <c r="E14" s="5" t="inlineStr">
        <is>
          <t>Applied Soft Computing</t>
        </is>
      </c>
      <c r="F14" s="5" t="inlineStr">
        <is>
          <t>10.1016/j.asoc.2021.107624</t>
        </is>
      </c>
      <c r="G14" s="5" t="inlineStr">
        <is>
          <t>CB-CTT</t>
        </is>
      </c>
      <c r="H14" s="6" t="inlineStr">
        <is>
          <t>CORE_CB-CTT</t>
        </is>
      </c>
      <c r="I14" s="5" t="inlineStr">
        <is>
          <t>Metaheuristic / adaptive neighborhood search</t>
        </is>
      </c>
      <c r="J14" s="5" t="inlineStr">
        <is>
          <t>Local search — competition-guided multi-neighborhood</t>
        </is>
      </c>
      <c r="K14" s="5" t="inlineStr">
        <is>
          <t>Competition-guided multi-neighborhood local search + SA restart</t>
        </is>
      </c>
      <c r="L14" s="5" t="inlineStr">
        <is>
          <t>Well-known CB-CTT benchmark</t>
        </is>
      </c>
      <c r="M14" s="5" t="inlineStr">
        <is>
          <t>Benchmark instances</t>
        </is>
      </c>
      <c r="N14" s="5" t="inlineStr">
        <is>
          <t>Objective penalty; comparative performance</t>
        </is>
      </c>
      <c r="O14" s="5" t="inlineStr">
        <is>
          <t>Public benchmark</t>
        </is>
      </c>
      <c r="P14" s="5" t="inlineStr">
        <is>
          <t>Not verified</t>
        </is>
      </c>
      <c r="Q14" s="5" t="inlineStr">
        <is>
          <t>Partial</t>
        </is>
      </c>
      <c r="R14" s="5" t="inlineStr">
        <is>
          <t>RQ1; RQ3</t>
        </is>
      </c>
      <c r="S14" s="5" t="inlineStr">
        <is>
          <t>Expansion</t>
        </is>
      </c>
      <c r="T14" s="6" t="inlineStr">
        <is>
          <t>INCLUDE</t>
        </is>
      </c>
      <c r="U14" s="5" t="inlineStr">
        <is>
          <t>I1,I2,I3,I4,I5,I6,I7</t>
        </is>
      </c>
      <c r="V14" s="5" t="inlineStr">
        <is>
          <t>Direct CB-CTT and adaptive neighborhood-selection mechanism</t>
        </is>
      </c>
      <c r="W14" s="7" t="inlineStr">
        <is>
          <t>https://www.sciencedirect.com/science/article/pii/S1568494621005457</t>
        </is>
      </c>
      <c r="X14" s="27" t="inlineStr">
        <is>
          <t>INCLUDED_PRIMARY</t>
        </is>
      </c>
      <c r="Y14" s="27" t="inlineStr">
        <is>
          <t>CORE_CB-CTT</t>
        </is>
      </c>
      <c r="Z14" s="27" t="inlineStr">
        <is>
          <t>Cumple ventana 2015–2026 y aborda CB-CTT de forma directa o reporta resultados CB-CTT separables; se incluye en la síntesis primaria.</t>
        </is>
      </c>
      <c r="AA14" s="27" t="inlineStr">
        <is>
          <t>PUBLISHER_OR_REPOSITORY_RECORD</t>
        </is>
      </c>
      <c r="AB14" s="27" t="inlineStr"/>
      <c r="AC14" s="27" t="inlineStr">
        <is>
          <t>https://www.sciencedirect.com/science/article/pii/S1568494621005457</t>
        </is>
      </c>
    </row>
    <row r="15" ht="55" customHeight="1">
      <c r="A15" s="11" t="inlineStr">
        <is>
          <t>P019</t>
        </is>
      </c>
      <c r="B15" s="11" t="n">
        <v>2021</v>
      </c>
      <c r="C15" s="11" t="inlineStr">
        <is>
          <t>Akkan; Gülcü; Kuş</t>
        </is>
      </c>
      <c r="D15" s="11" t="inlineStr">
        <is>
          <t>Minimum penalty perturbation heuristics for curriculum-based timetables subject to multiple disruptions</t>
        </is>
      </c>
      <c r="E15" s="11" t="inlineStr">
        <is>
          <t>Computers &amp; Operations Research</t>
        </is>
      </c>
      <c r="F15" s="11" t="inlineStr">
        <is>
          <t>10.1016/j.cor.2021.105306</t>
        </is>
      </c>
      <c r="G15" s="11" t="inlineStr">
        <is>
          <t>CB-CTT extension / robustness</t>
        </is>
      </c>
      <c r="H15" s="12" t="inlineStr">
        <is>
          <t>CB-CTT_EXTENSION</t>
        </is>
      </c>
      <c r="I15" s="11" t="inlineStr">
        <is>
          <t>Hybrid exact + metaheuristic</t>
        </is>
      </c>
      <c r="J15" s="11" t="inlineStr">
        <is>
          <t>Hybrid repair — SA + integer programming</t>
        </is>
      </c>
      <c r="K15" s="11" t="inlineStr">
        <is>
          <t>Simulated Annealing + integer programming repair algorithms</t>
        </is>
      </c>
      <c r="L15" s="11" t="inlineStr">
        <is>
          <t>ITC-2007 + randomly generated disruption scenarios</t>
        </is>
      </c>
      <c r="M15" s="11" t="inlineStr">
        <is>
          <t>ITC-2007 plus synthetic disruptions</t>
        </is>
      </c>
      <c r="N15" s="11" t="inlineStr">
        <is>
          <t>Penalty degradation; structural distance; robustness</t>
        </is>
      </c>
      <c r="O15" s="11" t="inlineStr">
        <is>
          <t>Public benchmark + generated scenarios</t>
        </is>
      </c>
      <c r="P15" s="11" t="inlineStr">
        <is>
          <t>Not verified</t>
        </is>
      </c>
      <c r="Q15" s="11" t="inlineStr">
        <is>
          <t>Partial</t>
        </is>
      </c>
      <c r="R15" s="11" t="inlineStr">
        <is>
          <t>RQ2; RQ3</t>
        </is>
      </c>
      <c r="S15" s="11" t="inlineStr">
        <is>
          <t>Expansion</t>
        </is>
      </c>
      <c r="T15" s="12" t="inlineStr">
        <is>
          <t>INCLUDE-EXTENSION</t>
        </is>
      </c>
      <c r="U15" s="11" t="inlineStr">
        <is>
          <t>I1,I2,I3,I4,I5,I6,I7</t>
        </is>
      </c>
      <c r="V15" s="11" t="inlineStr">
        <is>
          <t>Studies timetable repair under disruptions; keep separate from base optimization</t>
        </is>
      </c>
      <c r="W15" s="13" t="inlineStr">
        <is>
          <t>https://www.sciencedirect.com/science/article/pii/S0305054821000964</t>
        </is>
      </c>
      <c r="X15" s="27" t="inlineStr">
        <is>
          <t>INCLUDED_PRIMARY</t>
        </is>
      </c>
      <c r="Y15" s="27" t="inlineStr">
        <is>
          <t>CB-CTT_EXTENSION</t>
        </is>
      </c>
      <c r="Z15" s="27" t="inlineStr">
        <is>
          <t>Extensión explícita de CB-CTT (robustez, disrupciones, student flow/sectioning o caso real). Se incluye como evidencia secundaria, sin mezclar sus objetivos con el benchmark estándar.</t>
        </is>
      </c>
      <c r="AA15" s="27" t="inlineStr">
        <is>
          <t>PUBLISHER_OR_REPOSITORY_RECORD</t>
        </is>
      </c>
      <c r="AB15" s="27" t="inlineStr"/>
      <c r="AC15" s="27" t="inlineStr">
        <is>
          <t>https://www.sciencedirect.com/science/article/pii/S0305054821000964</t>
        </is>
      </c>
    </row>
    <row r="16" ht="55" customHeight="1">
      <c r="A16" s="14" t="inlineStr">
        <is>
          <t>P006</t>
        </is>
      </c>
      <c r="B16" s="14" t="n">
        <v>2022</v>
      </c>
      <c r="C16" s="14" t="inlineStr">
        <is>
          <t>De Coster; Musliu; Schaerf; Schoisswohl; Smith-Miles</t>
        </is>
      </c>
      <c r="D16" s="14" t="inlineStr">
        <is>
          <t>Algorithm selection and instance space analysis for curriculum-based course timetabling</t>
        </is>
      </c>
      <c r="E16" s="14" t="inlineStr">
        <is>
          <t>Journal of Scheduling</t>
        </is>
      </c>
      <c r="F16" s="14" t="inlineStr">
        <is>
          <t>10.1007/s10951-021-00701-x</t>
        </is>
      </c>
      <c r="G16" s="14" t="inlineStr">
        <is>
          <t>CB-CTT</t>
        </is>
      </c>
      <c r="H16" s="15" t="inlineStr">
        <is>
          <t>CORE_CB-CTT</t>
        </is>
      </c>
      <c r="I16" s="14" t="inlineStr">
        <is>
          <t>ML / instance-space analysis</t>
        </is>
      </c>
      <c r="J16" s="14" t="inlineStr">
        <is>
          <t>ML-assisted — instance-space analysis + algorithm selection</t>
        </is>
      </c>
      <c r="K16" s="14" t="inlineStr">
        <is>
          <t>Instance Space Analysis + automated algorithm selection</t>
        </is>
      </c>
      <c r="L16" s="14" t="inlineStr">
        <is>
          <t>Existing real instances + new real-life instances + synthetic instances</t>
        </is>
      </c>
      <c r="M16" s="14" t="inlineStr">
        <is>
          <t>Multiple datasets</t>
        </is>
      </c>
      <c r="N16" s="14" t="inlineStr">
        <is>
          <t>Algorithm performance by instance region; coverage</t>
        </is>
      </c>
      <c r="O16" s="14" t="inlineStr">
        <is>
          <t>New real + synthetic instances</t>
        </is>
      </c>
      <c r="P16" s="14" t="inlineStr">
        <is>
          <t>Not verified</t>
        </is>
      </c>
      <c r="Q16" s="14" t="inlineStr">
        <is>
          <t>Partial</t>
        </is>
      </c>
      <c r="R16" s="14" t="inlineStr">
        <is>
          <t>RQ2; RQ3</t>
        </is>
      </c>
      <c r="S16" s="14" t="inlineStr">
        <is>
          <t>Seed</t>
        </is>
      </c>
      <c r="T16" s="15" t="inlineStr">
        <is>
          <t>INCLUDE-PRIORITY</t>
        </is>
      </c>
      <c r="U16" s="14" t="inlineStr">
        <is>
          <t>I1,I2,I3,I4,I5,I6,I7</t>
        </is>
      </c>
      <c r="V16" s="14" t="inlineStr">
        <is>
          <t>Key bridge between benchmark diversity and algorithm selection</t>
        </is>
      </c>
      <c r="W16" s="16" t="inlineStr">
        <is>
          <t>https://ideas.repec.org/a/spr/jsched/v25y2022i1d10.1007_s10951-021-00701-x.html</t>
        </is>
      </c>
      <c r="X16" s="27" t="inlineStr">
        <is>
          <t>INCLUDED_PRIMARY</t>
        </is>
      </c>
      <c r="Y16" s="27" t="inlineStr">
        <is>
          <t>CORE_CB-CTT</t>
        </is>
      </c>
      <c r="Z16" s="27" t="inlineStr">
        <is>
          <t>Cumple ventana 2015–2026 y aborda CB-CTT de forma directa o reporta resultados CB-CTT separables; se incluye en la síntesis primaria.</t>
        </is>
      </c>
      <c r="AA16" s="27" t="inlineStr">
        <is>
          <t>PUBLISHER_OR_REPOSITORY_RECORD</t>
        </is>
      </c>
      <c r="AB16" s="27" t="inlineStr"/>
      <c r="AC16" s="27" t="inlineStr">
        <is>
          <t>https://ideas.repec.org/a/spr/jsched/v25y2022i1d10.1007_s10951-021-00701-x.html</t>
        </is>
      </c>
    </row>
    <row r="17" ht="55" customHeight="1">
      <c r="A17" s="5" t="inlineStr">
        <is>
          <t>P020</t>
        </is>
      </c>
      <c r="B17" s="5" t="n">
        <v>2023</v>
      </c>
      <c r="C17" s="5" t="inlineStr">
        <is>
          <t>Feutrier; Veerapen; Kessaci</t>
        </is>
      </c>
      <c r="D17" s="5" t="inlineStr">
        <is>
          <t>When Simpler is Better: Automated Configuration of a University Timetabling Solver</t>
        </is>
      </c>
      <c r="E17" s="5" t="inlineStr">
        <is>
          <t>2023 IEEE Congress on Evolutionary Computation (CEC)</t>
        </is>
      </c>
      <c r="F17" s="5" t="inlineStr">
        <is>
          <t>10.1109/CEC53210.2023.10253986</t>
        </is>
      </c>
      <c r="G17" s="5" t="inlineStr">
        <is>
          <t>CB-CTT</t>
        </is>
      </c>
      <c r="H17" s="6" t="inlineStr">
        <is>
          <t>CORE_CB-CTT</t>
        </is>
      </c>
      <c r="I17" s="5" t="inlineStr">
        <is>
          <t>Automated algorithm configuration</t>
        </is>
      </c>
      <c r="J17" s="5" t="inlineStr">
        <is>
          <t>Automatic algorithm configuration — irace</t>
        </is>
      </c>
      <c r="K17" s="5" t="inlineStr">
        <is>
          <t>Decomposition of hybrid solver + irace configuration + ablation</t>
        </is>
      </c>
      <c r="L17" s="5" t="inlineStr">
        <is>
          <t>CB-CTT benchmark(s)</t>
        </is>
      </c>
      <c r="M17" s="5" t="inlineStr">
        <is>
          <t>To verify full text</t>
        </is>
      </c>
      <c r="N17" s="5" t="inlineStr">
        <is>
          <t>Solver performance; configuration quality</t>
        </is>
      </c>
      <c r="O17" s="5" t="inlineStr">
        <is>
          <t>Benchmark/public</t>
        </is>
      </c>
      <c r="P17" s="5" t="inlineStr">
        <is>
          <t>Not verified</t>
        </is>
      </c>
      <c r="Q17" s="5" t="inlineStr">
        <is>
          <t>Partial</t>
        </is>
      </c>
      <c r="R17" s="5" t="inlineStr">
        <is>
          <t>RQ3</t>
        </is>
      </c>
      <c r="S17" s="5" t="inlineStr">
        <is>
          <t>Forward expansion</t>
        </is>
      </c>
      <c r="T17" s="6" t="inlineStr">
        <is>
          <t>INCLUDE</t>
        </is>
      </c>
      <c r="U17" s="5" t="inlineStr">
        <is>
          <t>I1,I2,I3,I4,I5,I6,I7</t>
        </is>
      </c>
      <c r="V17" s="5" t="inlineStr">
        <is>
          <t>Strong evidence for automatic configuration trend and simplification of hybrid solvers</t>
        </is>
      </c>
      <c r="W17" s="7" t="inlineStr">
        <is>
          <t>https://ieeexplore.ieee.org/abstract/document/10253986/</t>
        </is>
      </c>
      <c r="X17" s="27" t="inlineStr">
        <is>
          <t>INCLUDED_PRIMARY</t>
        </is>
      </c>
      <c r="Y17" s="27" t="inlineStr">
        <is>
          <t>CORE_CB-CTT</t>
        </is>
      </c>
      <c r="Z17" s="27" t="inlineStr">
        <is>
          <t>Cumple ventana 2015–2026 y aborda CB-CTT de forma directa o reporta resultados CB-CTT separables; se incluye en la síntesis primaria.</t>
        </is>
      </c>
      <c r="AA17" s="27" t="inlineStr">
        <is>
          <t>PUBLISHER_OR_REPOSITORY_RECORD</t>
        </is>
      </c>
      <c r="AB17" s="27" t="inlineStr"/>
      <c r="AC17" s="27" t="inlineStr">
        <is>
          <t>https://ieeexplore.ieee.org/abstract/document/10253986/</t>
        </is>
      </c>
    </row>
    <row r="18" ht="55" customHeight="1">
      <c r="A18" s="2" t="inlineStr">
        <is>
          <t>P007</t>
        </is>
      </c>
      <c r="B18" s="2" t="n">
        <v>2023</v>
      </c>
      <c r="C18" s="2" t="inlineStr">
        <is>
          <t>Abdipoor; Yaakob; Goh; Abdullah</t>
        </is>
      </c>
      <c r="D18" s="2" t="inlineStr">
        <is>
          <t>Meta-heuristic approaches for the University Course Timetabling Problem</t>
        </is>
      </c>
      <c r="E18" s="2" t="inlineStr">
        <is>
          <t>Intelligent Systems with Applications</t>
        </is>
      </c>
      <c r="F18" s="2" t="inlineStr">
        <is>
          <t>10.1016/j.iswa.2023.200253</t>
        </is>
      </c>
      <c r="G18" s="2" t="inlineStr">
        <is>
          <t>UCTP incl. CB-CTT and PE-CTT</t>
        </is>
      </c>
      <c r="H18" s="3" t="inlineStr">
        <is>
          <t>CONTEXT_REVIEW</t>
        </is>
      </c>
      <c r="I18" s="2" t="inlineStr">
        <is>
          <t>Systematic review</t>
        </is>
      </c>
      <c r="J18" s="2" t="inlineStr">
        <is>
          <t>Review — metaheuristics / hybrids</t>
        </is>
      </c>
      <c r="K18" s="2" t="inlineStr">
        <is>
          <t>Metaheuristics and hybrid metaheuristics taxonomy</t>
        </is>
      </c>
      <c r="L18" s="2" t="inlineStr">
        <is>
          <t>Multiple UCTP benchmark families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No data used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RQ1; RQ3</t>
        </is>
      </c>
      <c r="S18" s="2" t="inlineStr">
        <is>
          <t>Seed</t>
        </is>
      </c>
      <c r="T18" s="3" t="inlineStr">
        <is>
          <t>CONTEXT</t>
        </is>
      </c>
      <c r="U18" s="2" t="inlineStr">
        <is>
          <t>I1,I6,I7</t>
        </is>
      </c>
      <c r="V18" s="2" t="inlineStr">
        <is>
          <t>Broader than CB-CTT; valuable for snowballing/taxonomy but not primary evidence</t>
        </is>
      </c>
      <c r="W18" s="4" t="inlineStr">
        <is>
          <t>https://www.sciencedirect.com/science/article/pii/S2667305323000789</t>
        </is>
      </c>
      <c r="X18" s="27" t="inlineStr">
        <is>
          <t>CONTEXT_ONLY</t>
        </is>
      </c>
      <c r="Y18" s="27" t="inlineStr">
        <is>
          <t>REVIEW_CONTEXT</t>
        </is>
      </c>
      <c r="Z18" s="27" t="inlineStr">
        <is>
          <t>Revisión/survey: útil para antecedentes, benchmarks y snowballing, pero no se cuenta como estudio primario.</t>
        </is>
      </c>
      <c r="AA18" s="27" t="inlineStr">
        <is>
          <t>PUBLISHER_OR_REPOSITORY_RECORD</t>
        </is>
      </c>
      <c r="AB18" s="27" t="inlineStr">
        <is>
          <t>Revisión/survey: útil para antecedentes, benchmarks y snowballing, pero no se cuenta como estudio primario.</t>
        </is>
      </c>
      <c r="AC18" s="27" t="inlineStr">
        <is>
          <t>https://www.sciencedirect.com/science/article/pii/S2667305323000789</t>
        </is>
      </c>
    </row>
    <row r="19" ht="55" customHeight="1">
      <c r="A19" s="2" t="inlineStr">
        <is>
          <t>P021</t>
        </is>
      </c>
      <c r="B19" s="2" t="n">
        <v>2023</v>
      </c>
      <c r="C19" s="2" t="inlineStr">
        <is>
          <t>Ceschia; Di Gaspero; Schaerf</t>
        </is>
      </c>
      <c r="D19" s="2" t="inlineStr">
        <is>
          <t>Educational timetabling: Problems, benchmarks, and state-of-the-art results</t>
        </is>
      </c>
      <c r="E19" s="2" t="inlineStr">
        <is>
          <t>European Journal of Operational Research</t>
        </is>
      </c>
      <c r="F19" s="2" t="inlineStr">
        <is>
          <t>10.1016/j.ejor.2022.07.011</t>
        </is>
      </c>
      <c r="G19" s="2" t="inlineStr">
        <is>
          <t>Educational timetabling incl. CB-CTT</t>
        </is>
      </c>
      <c r="H19" s="3" t="inlineStr">
        <is>
          <t>CONTEXT_REVIEW_PRIORITY</t>
        </is>
      </c>
      <c r="I19" s="2" t="inlineStr">
        <is>
          <t>Invited review / benchmark survey</t>
        </is>
      </c>
      <c r="J19" s="2" t="inlineStr">
        <is>
          <t>Review — benchmarks / SOTA / reproducibility</t>
        </is>
      </c>
      <c r="K19" s="2" t="inlineStr">
        <is>
          <t>Six standard formulations; benchmarks; SOTA; reproducibility</t>
        </is>
      </c>
      <c r="L19" s="2" t="inlineStr">
        <is>
          <t>Multiple educational timetabling benchmarks</t>
        </is>
      </c>
      <c r="M19" s="2" t="inlineStr">
        <is>
          <t>N/A</t>
        </is>
      </c>
      <c r="N19" s="2" t="inlineStr">
        <is>
          <t>Upper/lower bounds; runtime; settings</t>
        </is>
      </c>
      <c r="O19" s="2" t="inlineStr">
        <is>
          <t>Benchmark survey</t>
        </is>
      </c>
      <c r="P19" s="2" t="inlineStr">
        <is>
          <t>N/A</t>
        </is>
      </c>
      <c r="Q19" s="2" t="inlineStr">
        <is>
          <t>N/A</t>
        </is>
      </c>
      <c r="R19" s="2" t="inlineStr">
        <is>
          <t>RQ2; RQ4</t>
        </is>
      </c>
      <c r="S19" s="2" t="inlineStr">
        <is>
          <t>Forward snowballing</t>
        </is>
      </c>
      <c r="T19" s="3" t="inlineStr">
        <is>
          <t>CONTEXT-PRIORITY</t>
        </is>
      </c>
      <c r="U19" s="2" t="inlineStr">
        <is>
          <t>I1,I6,I7</t>
        </is>
      </c>
      <c r="V19" s="2" t="inlineStr">
        <is>
          <t>Primary secondary source for benchmarks, standard formulations and reproducibility context</t>
        </is>
      </c>
      <c r="W19" s="4" t="inlineStr">
        <is>
          <t>https://www.sciencedirect.com/science/article/pii/S0377221722005641</t>
        </is>
      </c>
      <c r="X19" s="27" t="inlineStr">
        <is>
          <t>CONTEXT_ONLY</t>
        </is>
      </c>
      <c r="Y19" s="27" t="inlineStr">
        <is>
          <t>REVIEW_CONTEXT</t>
        </is>
      </c>
      <c r="Z19" s="27" t="inlineStr">
        <is>
          <t>Revisión/survey: útil para antecedentes, benchmarks y snowballing, pero no se cuenta como estudio primario.</t>
        </is>
      </c>
      <c r="AA19" s="27" t="inlineStr">
        <is>
          <t>PUBLISHER_OR_REPOSITORY_RECORD</t>
        </is>
      </c>
      <c r="AB19" s="27" t="inlineStr">
        <is>
          <t>Revisión/survey: útil para antecedentes, benchmarks y snowballing, pero no se cuenta como estudio primario.</t>
        </is>
      </c>
      <c r="AC19" s="27" t="inlineStr">
        <is>
          <t>https://www.sciencedirect.com/science/article/pii/S0377221722005641</t>
        </is>
      </c>
    </row>
    <row r="20" ht="55" customHeight="1">
      <c r="A20" s="11" t="inlineStr">
        <is>
          <t>P008</t>
        </is>
      </c>
      <c r="B20" s="11" t="n">
        <v>2025</v>
      </c>
      <c r="C20" s="11" t="inlineStr">
        <is>
          <t>Steiner; Pferschy; Schaerf</t>
        </is>
      </c>
      <c r="D20" s="11" t="inlineStr">
        <is>
          <t>Curriculum-based university course timetabling considering individual course of studies</t>
        </is>
      </c>
      <c r="E20" s="11" t="inlineStr">
        <is>
          <t>Central European Journal of Operations Research</t>
        </is>
      </c>
      <c r="F20" s="11" t="inlineStr">
        <is>
          <t>10.1007/s10100-024-00923-2</t>
        </is>
      </c>
      <c r="G20" s="11" t="inlineStr">
        <is>
          <t>CB-style real-world extension + student sectioning</t>
        </is>
      </c>
      <c r="H20" s="12" t="inlineStr">
        <is>
          <t>CB-CTT_EXTENSION</t>
        </is>
      </c>
      <c r="I20" s="11" t="inlineStr">
        <is>
          <t>Integer linear programming / multi-stage</t>
        </is>
      </c>
      <c r="J20" s="11" t="inlineStr">
        <is>
          <t>Exact / multi-stage — timetabling + student allocation</t>
        </is>
      </c>
      <c r="K20" s="11" t="inlineStr">
        <is>
          <t>Multi-stage timetable + student allocation</t>
        </is>
      </c>
      <c r="L20" s="11" t="inlineStr">
        <is>
          <t>Teacher education real case; individual study paths</t>
        </is>
      </c>
      <c r="M20" s="11" t="inlineStr">
        <is>
          <t>Institutional case</t>
        </is>
      </c>
      <c r="N20" s="11" t="inlineStr">
        <is>
          <t>Allocation; fairness; feasibility; timetable quality</t>
        </is>
      </c>
      <c r="O20" s="11" t="inlineStr">
        <is>
          <t>Institutional</t>
        </is>
      </c>
      <c r="P20" s="11" t="inlineStr">
        <is>
          <t>Not verified</t>
        </is>
      </c>
      <c r="Q20" s="11" t="inlineStr">
        <is>
          <t>Partial</t>
        </is>
      </c>
      <c r="R20" s="11" t="inlineStr">
        <is>
          <t>RQ2; RQ3</t>
        </is>
      </c>
      <c r="S20" s="11" t="inlineStr">
        <is>
          <t>Seed</t>
        </is>
      </c>
      <c r="T20" s="12" t="inlineStr">
        <is>
          <t>INCLUDE-EXTENSION</t>
        </is>
      </c>
      <c r="U20" s="11" t="inlineStr">
        <is>
          <t>I1,I2,I3,I4,I5,I6,I7</t>
        </is>
      </c>
      <c r="V20" s="11" t="inlineStr">
        <is>
          <t>Important evolution toward student-level and ITC-2019-like features; not standard CB-CTT</t>
        </is>
      </c>
      <c r="W20" s="13" t="inlineStr">
        <is>
          <t>https://link.springer.com/article/10.1007/s10100-024-00923-2</t>
        </is>
      </c>
      <c r="X20" s="27" t="inlineStr">
        <is>
          <t>INCLUDED_PRIMARY</t>
        </is>
      </c>
      <c r="Y20" s="27" t="inlineStr">
        <is>
          <t>CB-CTT_EXTENSION</t>
        </is>
      </c>
      <c r="Z20" s="27" t="inlineStr">
        <is>
          <t>Extensión explícita de CB-CTT (robustez, disrupciones, student flow/sectioning o caso real). Se incluye como evidencia secundaria, sin mezclar sus objetivos con el benchmark estándar.</t>
        </is>
      </c>
      <c r="AA20" s="27" t="inlineStr">
        <is>
          <t>FULL_TEXT_PUBLIC</t>
        </is>
      </c>
      <c r="AB20" s="27" t="inlineStr"/>
      <c r="AC20" s="27" t="inlineStr">
        <is>
          <t>https://link.springer.com/article/10.1007/s10100-024-00923-2</t>
        </is>
      </c>
    </row>
    <row r="21" ht="55" customHeight="1">
      <c r="A21" s="8" t="inlineStr">
        <is>
          <t>P009</t>
        </is>
      </c>
      <c r="B21" s="8" t="n">
        <v>2025</v>
      </c>
      <c r="C21" s="8" t="inlineStr">
        <is>
          <t>Feutrier; Veerapen; Kessaci</t>
        </is>
      </c>
      <c r="D21" s="8" t="inlineStr">
        <is>
          <t>Generalizing the Structure of a University Timetabling Solver for Flexible Automatic Algorithm Configuration</t>
        </is>
      </c>
      <c r="E21" s="8" t="inlineStr">
        <is>
          <t>GECCO '25 Companion</t>
        </is>
      </c>
      <c r="F21" s="8" t="inlineStr">
        <is>
          <t>DOI to verify</t>
        </is>
      </c>
      <c r="G21" s="8" t="inlineStr">
        <is>
          <t>CB-CTT</t>
        </is>
      </c>
      <c r="H21" s="9" t="inlineStr">
        <is>
          <t>CORE_PENDING</t>
        </is>
      </c>
      <c r="I21" s="8" t="inlineStr">
        <is>
          <t>Automatic configuration / hybrid metaheuristic</t>
        </is>
      </c>
      <c r="J21" s="8" t="inlineStr">
        <is>
          <t>Automatic configuration — ILS building blocks + irace</t>
        </is>
      </c>
      <c r="K21" s="8" t="inlineStr">
        <is>
          <t>Iterated Local Search building blocks + irace</t>
        </is>
      </c>
      <c r="L21" s="8" t="inlineStr">
        <is>
          <t>CB-CTT benchmarks</t>
        </is>
      </c>
      <c r="M21" s="8" t="inlineStr">
        <is>
          <t>To verify full text</t>
        </is>
      </c>
      <c r="N21" s="8" t="inlineStr">
        <is>
          <t>Configuration performance; parameter importance</t>
        </is>
      </c>
      <c r="O21" s="8" t="inlineStr">
        <is>
          <t>Benchmark/public</t>
        </is>
      </c>
      <c r="P21" s="8" t="inlineStr">
        <is>
          <t>Not verified</t>
        </is>
      </c>
      <c r="Q21" s="8" t="inlineStr">
        <is>
          <t>Partial</t>
        </is>
      </c>
      <c r="R21" s="8" t="inlineStr">
        <is>
          <t>RQ3</t>
        </is>
      </c>
      <c r="S21" s="8" t="inlineStr">
        <is>
          <t>Seed/forward</t>
        </is>
      </c>
      <c r="T21" s="9" t="inlineStr">
        <is>
          <t>INCLUDE-PENDING</t>
        </is>
      </c>
      <c r="U21" s="8" t="inlineStr">
        <is>
          <t>I1,I2,I3,I4,I6,I7</t>
        </is>
      </c>
      <c r="V21" s="8" t="inlineStr">
        <is>
          <t>Highly relevant 2025 continuation; DOI/benchmark details require full-text verification</t>
        </is>
      </c>
      <c r="W21" s="10" t="inlineStr">
        <is>
          <t>https://www.sigevo.org/gecco-2025/toc-companion.html</t>
        </is>
      </c>
      <c r="X21" s="27" t="inlineStr">
        <is>
          <t>INCLUDED_PRIMARY</t>
        </is>
      </c>
      <c r="Y21" s="27" t="inlineStr">
        <is>
          <t>CORE_CB-CTT</t>
        </is>
      </c>
      <c r="Z21" s="27" t="inlineStr">
        <is>
          <t>Cumple ventana 2015–2026 y aborda CB-CTT de forma directa o reporta resultados CB-CTT separables; se incluye en la síntesis primaria.</t>
        </is>
      </c>
      <c r="AA21" s="27" t="inlineStr">
        <is>
          <t>PUBLISHER_OR_REPOSITORY_RECORD</t>
        </is>
      </c>
      <c r="AB21" s="27" t="inlineStr"/>
      <c r="AC21" s="27" t="inlineStr">
        <is>
          <t>https://www.sigevo.org/gecco-2025/toc-companion.html</t>
        </is>
      </c>
    </row>
    <row r="22" ht="55" customHeight="1">
      <c r="A22" s="14" t="inlineStr">
        <is>
          <t>P010</t>
        </is>
      </c>
      <c r="B22" s="14" t="n">
        <v>2026</v>
      </c>
      <c r="C22" s="14" t="inlineStr">
        <is>
          <t>Ceschia; Da Ros; Di Gaspero; Schaerf</t>
        </is>
      </c>
      <c r="D22" s="14" t="inlineStr">
        <is>
          <t>Revisiting local search for Curriculum-Based Course Timetabling</t>
        </is>
      </c>
      <c r="E22" s="14" t="inlineStr">
        <is>
          <t>Computers &amp; Operations Research</t>
        </is>
      </c>
      <c r="F22" s="14" t="inlineStr">
        <is>
          <t>10.1016/j.cor.2026.107621</t>
        </is>
      </c>
      <c r="G22" s="14" t="inlineStr">
        <is>
          <t>CB-CTT / ITC-2007 UD2</t>
        </is>
      </c>
      <c r="H22" s="15" t="inlineStr">
        <is>
          <t>CORE_CB-CTT</t>
        </is>
      </c>
      <c r="I22" s="14" t="inlineStr">
        <is>
          <t>Metaheuristic / local search</t>
        </is>
      </c>
      <c r="J22" s="14" t="inlineStr">
        <is>
          <t>Local search — Simulated Annealing + LectureKick</t>
        </is>
      </c>
      <c r="K22" s="14" t="inlineStr">
        <is>
          <t>Simulated Annealing + LectureKick + neighborhood-bias screening</t>
        </is>
      </c>
      <c r="L22" s="14" t="inlineStr">
        <is>
          <t>Consolidated real and synthetic CB-CTT benchmarks; ITC-2007 UD2</t>
        </is>
      </c>
      <c r="M22" s="14" t="inlineStr">
        <is>
          <t>Multiple datasets; 19 non-redundant ITC-2007 UD2 used in planned reproduction</t>
        </is>
      </c>
      <c r="N22" s="14" t="inlineStr">
        <is>
          <t>Objective penalty; time limits; comparative SOTA</t>
        </is>
      </c>
      <c r="O22" s="14" t="inlineStr">
        <is>
          <t>Yes</t>
        </is>
      </c>
      <c r="P22" s="14" t="inlineStr">
        <is>
          <t>Yes (C++ repository)</t>
        </is>
      </c>
      <c r="Q22" s="14" t="inlineStr">
        <is>
          <t>High</t>
        </is>
      </c>
      <c r="R22" s="14" t="inlineStr">
        <is>
          <t>RQ1; RQ2; RQ3; RQ4</t>
        </is>
      </c>
      <c r="S22" s="14" t="inlineStr">
        <is>
          <t>Seed</t>
        </is>
      </c>
      <c r="T22" s="15" t="inlineStr">
        <is>
          <t>INCLUDE-EXPERIMENT</t>
        </is>
      </c>
      <c r="U22" s="14" t="inlineStr">
        <is>
          <t>I1,I2,I3,I4,I5,I6,I7</t>
        </is>
      </c>
      <c r="V22" s="14" t="inlineStr">
        <is>
          <t>Central reproducibility target; public code and instances; consolidated 2026 benchmark evidence</t>
        </is>
      </c>
      <c r="W22" s="16" t="inlineStr">
        <is>
          <t>https://www.sciencedirect.com/science/article/pii/S030505482600239X ; https://github.com/iolab-uniud/cb-ctt</t>
        </is>
      </c>
      <c r="X22" s="27" t="inlineStr">
        <is>
          <t>INCLUDED_PRIMARY</t>
        </is>
      </c>
      <c r="Y22" s="27" t="inlineStr">
        <is>
          <t>CORE_CB-CTT</t>
        </is>
      </c>
      <c r="Z22" s="27" t="inlineStr">
        <is>
          <t>Cumple ventana 2015–2026 y aborda CB-CTT de forma directa o reporta resultados CB-CTT separables; se incluye en la síntesis primaria.</t>
        </is>
      </c>
      <c r="AA22" s="27" t="inlineStr">
        <is>
          <t>FULL_TEXT_PUBLIC</t>
        </is>
      </c>
      <c r="AB22" s="27" t="inlineStr"/>
      <c r="AC22" s="27" t="inlineStr">
        <is>
          <t>https://www.sciencedirect.com/science/article/pii/S030505482600239X ; https://github.com/iolab-uniud/cb-ctt</t>
        </is>
      </c>
    </row>
    <row r="23" ht="55" customHeight="1">
      <c r="A23" s="17" t="inlineStr">
        <is>
          <t>P022</t>
        </is>
      </c>
      <c r="B23" s="17" t="n">
        <v>2011</v>
      </c>
      <c r="C23" s="17" t="inlineStr">
        <is>
          <t>Der-Fang Shiau</t>
        </is>
      </c>
      <c r="D23" s="17" t="inlineStr">
        <is>
          <t>A hybrid particle swarm optimization for a university course scheduling problem with flexible preferences</t>
        </is>
      </c>
      <c r="E23" s="17" t="inlineStr">
        <is>
          <t>Expert Systems with Applications</t>
        </is>
      </c>
      <c r="F23" s="17" t="inlineStr">
        <is>
          <t>10.1016/j.eswa.2010.06.051</t>
        </is>
      </c>
      <c r="G23" s="17" t="inlineStr">
        <is>
          <t>University course scheduling / institutional</t>
        </is>
      </c>
      <c r="H23" s="18" t="inlineStr">
        <is>
          <t>FOUNDATIONAL_CONTEXT</t>
        </is>
      </c>
      <c r="I23" s="17" t="inlineStr">
        <is>
          <t>Swarm intelligence / hybrid metaheuristic</t>
        </is>
      </c>
      <c r="J23" s="17" t="inlineStr">
        <is>
          <t>PSO — hybrid / local search</t>
        </is>
      </c>
      <c r="K23" s="17" t="inlineStr">
        <is>
          <t>Particle Swarm Optimization + local search + repair process</t>
        </is>
      </c>
      <c r="L23" s="17" t="inlineStr">
        <is>
          <t>Real university data from Taiwan</t>
        </is>
      </c>
      <c r="M23" s="17" t="inlineStr">
        <is>
          <t>Institutional case</t>
        </is>
      </c>
      <c r="N23" s="17" t="inlineStr">
        <is>
          <t>Instructor/course preference satisfaction; feasibility</t>
        </is>
      </c>
      <c r="O23" s="17" t="inlineStr">
        <is>
          <t>Institutional / not a public CB-CTT benchmark</t>
        </is>
      </c>
      <c r="P23" s="17" t="inlineStr">
        <is>
          <t>Not verified</t>
        </is>
      </c>
      <c r="Q23" s="17" t="inlineStr">
        <is>
          <t>Low for CB-CTT reproducibility</t>
        </is>
      </c>
      <c r="R23" s="17" t="inlineStr">
        <is>
          <t>RQ1 (historical context); RQ3 (PSO lineage)</t>
        </is>
      </c>
      <c r="S23" s="17" t="inlineStr">
        <is>
          <t>Targeted PSO expansion</t>
        </is>
      </c>
      <c r="T23" s="18" t="inlineStr">
        <is>
          <t>CONTEXT-FOUNDATIONAL</t>
        </is>
      </c>
      <c r="U23" s="17" t="inlineStr">
        <is>
          <t>I3,I4,I5,I6,I7</t>
        </is>
      </c>
      <c r="V23" s="17" t="inlineStr">
        <is>
          <t>Pre-2015 and not standard CB-CTT; retained only to document the early PSO lineage in university course scheduling</t>
        </is>
      </c>
      <c r="W23" s="19" t="inlineStr">
        <is>
          <t>https://www.sciencedirect.com/science/article/pii/S0957417410005555</t>
        </is>
      </c>
      <c r="X23" s="27" t="inlineStr">
        <is>
          <t>CONTEXT_ONLY</t>
        </is>
      </c>
      <c r="Y23" s="27" t="inlineStr">
        <is>
          <t>FOUNDATIONAL_PRE2015</t>
        </is>
      </c>
      <c r="Z23" s="27" t="inlineStr">
        <is>
          <t>Trabajo fundacional anterior a 2015; se conserva para contexto histórico y taxonomía, pero queda fuera del corpus primario por el criterio temporal.</t>
        </is>
      </c>
      <c r="AA23" s="27" t="inlineStr">
        <is>
          <t>PUBLISHER_OR_REPOSITORY_RECORD</t>
        </is>
      </c>
      <c r="AB23" s="27" t="inlineStr">
        <is>
          <t>Trabajo fundacional anterior a 2015; se conserva para contexto histórico y taxonomía, pero queda fuera del corpus primario por el criterio temporal.</t>
        </is>
      </c>
      <c r="AC23" s="27" t="inlineStr">
        <is>
          <t>https://www.sciencedirect.com/science/article/pii/S0957417410005555</t>
        </is>
      </c>
    </row>
    <row r="24" ht="55" customHeight="1">
      <c r="A24" s="17" t="inlineStr">
        <is>
          <t>P023</t>
        </is>
      </c>
      <c r="B24" s="17" t="n">
        <v>2013</v>
      </c>
      <c r="C24" s="17" t="inlineStr">
        <is>
          <t>Ruey-Maw Chen; Hsiao-Fang Shih</t>
        </is>
      </c>
      <c r="D24" s="17" t="inlineStr">
        <is>
          <t>Solving University Course Timetabling Problems Using Constriction Particle Swarm Optimization with Local Search</t>
        </is>
      </c>
      <c r="E24" s="17" t="inlineStr">
        <is>
          <t>Algorithms</t>
        </is>
      </c>
      <c r="F24" s="17" t="inlineStr">
        <is>
          <t>10.3390/a6020227</t>
        </is>
      </c>
      <c r="G24" s="17" t="inlineStr">
        <is>
          <t>University course timetabling / institutional</t>
        </is>
      </c>
      <c r="H24" s="18" t="inlineStr">
        <is>
          <t>FOUNDATIONAL_CONTEXT</t>
        </is>
      </c>
      <c r="I24" s="17" t="inlineStr">
        <is>
          <t>Swarm intelligence / hybrid metaheuristic</t>
        </is>
      </c>
      <c r="J24" s="17" t="inlineStr">
        <is>
          <t>PSO — constriction PSO + local search</t>
        </is>
      </c>
      <c r="K24" s="17" t="inlineStr">
        <is>
          <t>Inertia-weight PSO and constriction PSO + interchange local search</t>
        </is>
      </c>
      <c r="L24" s="17" t="inlineStr">
        <is>
          <t>Institution-specific university course timetabling</t>
        </is>
      </c>
      <c r="M24" s="17" t="inlineStr">
        <is>
          <t>Institutional case</t>
        </is>
      </c>
      <c r="N24" s="17" t="inlineStr">
        <is>
          <t>Constraint satisfaction; timetable quality / preference satisfaction</t>
        </is>
      </c>
      <c r="O24" s="17" t="inlineStr">
        <is>
          <t>Institutional / article open access</t>
        </is>
      </c>
      <c r="P24" s="17" t="inlineStr">
        <is>
          <t>Not verified</t>
        </is>
      </c>
      <c r="Q24" s="17" t="inlineStr">
        <is>
          <t>Low for CB-CTT reproducibility</t>
        </is>
      </c>
      <c r="R24" s="17" t="inlineStr">
        <is>
          <t>RQ1 (historical context); RQ3 (PSO lineage)</t>
        </is>
      </c>
      <c r="S24" s="17" t="inlineStr">
        <is>
          <t>Targeted PSO expansion</t>
        </is>
      </c>
      <c r="T24" s="18" t="inlineStr">
        <is>
          <t>CONTEXT-FOUNDATIONAL</t>
        </is>
      </c>
      <c r="U24" s="17" t="inlineStr">
        <is>
          <t>I3,I4,I5,I6,I7</t>
        </is>
      </c>
      <c r="V24" s="17" t="inlineStr">
        <is>
          <t>Pre-2015 and not standard CB-CTT; foundational PSO reference retained for historical evolution only</t>
        </is>
      </c>
      <c r="W24" s="19" t="inlineStr">
        <is>
          <t>https://www.mdpi.com/1999-4893/6/2/227</t>
        </is>
      </c>
      <c r="X24" s="27" t="inlineStr">
        <is>
          <t>CONTEXT_ONLY</t>
        </is>
      </c>
      <c r="Y24" s="27" t="inlineStr">
        <is>
          <t>FOUNDATIONAL_PRE2015</t>
        </is>
      </c>
      <c r="Z24" s="27" t="inlineStr">
        <is>
          <t>Trabajo fundacional anterior a 2015; se conserva para contexto histórico y taxonomía, pero queda fuera del corpus primario por el criterio temporal.</t>
        </is>
      </c>
      <c r="AA24" s="27" t="inlineStr">
        <is>
          <t>PUBLISHER_OR_REPOSITORY_RECORD</t>
        </is>
      </c>
      <c r="AB24" s="27" t="inlineStr">
        <is>
          <t>Trabajo fundacional anterior a 2015; se conserva para contexto histórico y taxonomía, pero queda fuera del corpus primario por el criterio temporal.</t>
        </is>
      </c>
      <c r="AC24" s="27" t="inlineStr">
        <is>
          <t>https://www.mdpi.com/1999-4893/6/2/227</t>
        </is>
      </c>
    </row>
    <row r="25" ht="55" customHeight="1">
      <c r="A25" s="17" t="inlineStr">
        <is>
          <t>P024</t>
        </is>
      </c>
      <c r="B25" s="17" t="n">
        <v>2019</v>
      </c>
      <c r="C25" s="17" t="inlineStr">
        <is>
          <t>Sk. Imran Hossain; M.A.H. Akhand; M.I.R. Shuvo; N. Siddique; H. Adeli</t>
        </is>
      </c>
      <c r="D25" s="17" t="inlineStr">
        <is>
          <t>Optimization of University Course Scheduling Problem using Particle Swarm Optimization with Selective Search</t>
        </is>
      </c>
      <c r="E25" s="17" t="inlineStr">
        <is>
          <t>Expert Systems with Applications</t>
        </is>
      </c>
      <c r="F25" s="17" t="inlineStr">
        <is>
          <t>10.1016/j.eswa.2019.02.026</t>
        </is>
      </c>
      <c r="G25" s="17" t="inlineStr">
        <is>
          <t>University Course Scheduling Problem (UCSP)</t>
        </is>
      </c>
      <c r="H25" s="18" t="inlineStr">
        <is>
          <t>UCTP_UCSP_EXTENSION</t>
        </is>
      </c>
      <c r="I25" s="17" t="inlineStr">
        <is>
          <t>Swarm intelligence</t>
        </is>
      </c>
      <c r="J25" s="17" t="inlineStr">
        <is>
          <t>PSO — discrete / selective search</t>
        </is>
      </c>
      <c r="K25" s="17" t="inlineStr">
        <is>
          <t>Discrete PSO with swap sequence, selective search and force mechanism</t>
        </is>
      </c>
      <c r="L25" s="17" t="inlineStr">
        <is>
          <t>Real-life university course scheduling scenario</t>
        </is>
      </c>
      <c r="M25" s="17" t="inlineStr">
        <is>
          <t>Real-life scenario</t>
        </is>
      </c>
      <c r="N25" s="17" t="inlineStr">
        <is>
          <t>Schedule quality; convergence / comparative performance</t>
        </is>
      </c>
      <c r="O25" s="17" t="inlineStr">
        <is>
          <t>Described real-life scenario; not standard CB-CTT benchmark</t>
        </is>
      </c>
      <c r="P25" s="17" t="inlineStr">
        <is>
          <t>Not verified</t>
        </is>
      </c>
      <c r="Q25" s="17" t="inlineStr">
        <is>
          <t>Partial / not directly comparable to ITC-2007 CB-CTT</t>
        </is>
      </c>
      <c r="R25" s="17" t="inlineStr">
        <is>
          <t>RQ1; RQ3</t>
        </is>
      </c>
      <c r="S25" s="17" t="inlineStr">
        <is>
          <t>Targeted PSO expansion</t>
        </is>
      </c>
      <c r="T25" s="18" t="inlineStr">
        <is>
          <t>INCLUDE-EXTENSION</t>
        </is>
      </c>
      <c r="U25" s="17" t="inlineStr">
        <is>
          <t>I1,I3,I4,I5,I6,I7</t>
        </is>
      </c>
      <c r="V25" s="17" t="inlineStr">
        <is>
          <t>Within review period and directly relevant to university course timetabling, but formulation differs from standard CB-CTT; include as PSO extension, not in benchmark objective comparisons</t>
        </is>
      </c>
      <c r="W25" s="19" t="inlineStr">
        <is>
          <t>https://www.sciencedirect.com/science/article/pii/S0957417419301393</t>
        </is>
      </c>
      <c r="X25" s="27" t="inlineStr">
        <is>
          <t>CONTEXT_ONLY</t>
        </is>
      </c>
      <c r="Y25" s="27" t="inlineStr">
        <is>
          <t>UCTP_UCSP_TREND</t>
        </is>
      </c>
      <c r="Z25" s="27" t="inlineStr">
        <is>
          <t>Trabajo 2015–2026 relevante como tendencia UCTP/UCSP, pero no demuestra equivalencia suficiente con la formulación CB-CTT estándar; se conserva como contexto, no como estudio primario.</t>
        </is>
      </c>
      <c r="AA25" s="27" t="inlineStr">
        <is>
          <t>PUBLISHER_OR_REPOSITORY_RECORD</t>
        </is>
      </c>
      <c r="AB25" s="27" t="inlineStr">
        <is>
          <t>Trabajo 2015–2026 relevante como tendencia UCTP/UCSP, pero no demuestra equivalencia suficiente con la formulación CB-CTT estándar; se conserva como contexto, no como estudio primario.</t>
        </is>
      </c>
      <c r="AC25" s="27" t="inlineStr">
        <is>
          <t>https://www.sciencedirect.com/science/article/pii/S0957417419301393</t>
        </is>
      </c>
    </row>
    <row r="26" ht="55" customHeight="1">
      <c r="A26" s="17" t="inlineStr">
        <is>
          <t>P025</t>
        </is>
      </c>
      <c r="B26" s="17" t="n">
        <v>2021</v>
      </c>
      <c r="C26" s="17" t="inlineStr">
        <is>
          <t>Zahid Iqbal; Rafia Ilyas; Huah Yong Chan; Naveed Ahmed</t>
        </is>
      </c>
      <c r="D26" s="17" t="inlineStr">
        <is>
          <t>Effective Solution of University Course Timetabling using Particle Swarm Optimizer based Hyper Heuristic approach</t>
        </is>
      </c>
      <c r="E26" s="17" t="inlineStr">
        <is>
          <t>Baghdad Science Journal</t>
        </is>
      </c>
      <c r="F26" s="17" t="inlineStr">
        <is>
          <t>10.21123/bsj.2021.18.4(Suppl.).1465</t>
        </is>
      </c>
      <c r="G26" s="17" t="inlineStr">
        <is>
          <t>UCTP / ITC-based educational timetabling</t>
        </is>
      </c>
      <c r="H26" s="18" t="inlineStr">
        <is>
          <t>UCTP_EXTENSION</t>
        </is>
      </c>
      <c r="I26" s="17" t="inlineStr">
        <is>
          <t>Swarm intelligence / hyper-heuristic</t>
        </is>
      </c>
      <c r="J26" s="17" t="inlineStr">
        <is>
          <t>PSO — selection hyper-heuristic</t>
        </is>
      </c>
      <c r="K26" s="17" t="inlineStr">
        <is>
          <t>PSO as high-level selector of low-level heuristics (HH-PSO)</t>
        </is>
      </c>
      <c r="L26" s="17" t="inlineStr">
        <is>
          <t>ITC 2002 and ITC 2007 datasets</t>
        </is>
      </c>
      <c r="M26" s="17" t="inlineStr">
        <is>
          <t>24 ITC 2002 + 20 ITC 2007 instances reported</t>
        </is>
      </c>
      <c r="N26" s="17" t="inlineStr">
        <is>
          <t>Soft-constraint violations; feasible scheduling; LLH performance</t>
        </is>
      </c>
      <c r="O26" s="17" t="inlineStr">
        <is>
          <t>Public competition datasets</t>
        </is>
      </c>
      <c r="P26" s="17" t="inlineStr">
        <is>
          <t>No public code verified</t>
        </is>
      </c>
      <c r="Q26" s="17" t="inlineStr">
        <is>
          <t>Medium for method/data; formulation must not be treated as CB-CTT core without track confirmation</t>
        </is>
      </c>
      <c r="R26" s="17" t="inlineStr">
        <is>
          <t>RQ1; RQ2; RQ3</t>
        </is>
      </c>
      <c r="S26" s="17" t="inlineStr">
        <is>
          <t>Targeted PSO expansion</t>
        </is>
      </c>
      <c r="T26" s="18" t="inlineStr">
        <is>
          <t>INCLUDE-EXTENSION</t>
        </is>
      </c>
      <c r="U26" s="17" t="inlineStr">
        <is>
          <t>I1,I3,I4,I5,I6,I7</t>
        </is>
      </c>
      <c r="V26" s="17" t="inlineStr">
        <is>
          <t>Strong PSO/hyper-heuristic evidence using ITC data, but reported instance counts do not map cleanly to the 21-instance ITC-2007 CB-CTT core; keep as UCTP extension pending track-level verification</t>
        </is>
      </c>
      <c r="W26" s="19" t="inlineStr">
        <is>
          <t>https://bsj-ojs.uobaghdad.edu.iq/index.php/BSJ/article/view/6674</t>
        </is>
      </c>
      <c r="X26" s="27" t="inlineStr">
        <is>
          <t>CONTEXT_ONLY</t>
        </is>
      </c>
      <c r="Y26" s="27" t="inlineStr">
        <is>
          <t>UCTP_UCSP_TREND</t>
        </is>
      </c>
      <c r="Z26" s="27" t="inlineStr">
        <is>
          <t>Trabajo 2015–2026 relevante como tendencia UCTP/UCSP, pero no demuestra equivalencia suficiente con la formulación CB-CTT estándar; se conserva como contexto, no como estudio primario.</t>
        </is>
      </c>
      <c r="AA26" s="27" t="inlineStr">
        <is>
          <t>FULL_TEXT_PUBLIC</t>
        </is>
      </c>
      <c r="AB26" s="27" t="inlineStr">
        <is>
          <t>Trabajo 2015–2026 relevante como tendencia UCTP/UCSP, pero no demuestra equivalencia suficiente con la formulación CB-CTT estándar; se conserva como contexto, no como estudio primario.</t>
        </is>
      </c>
      <c r="AC26" s="27" t="inlineStr">
        <is>
          <t>https://bsj-ojs.uobaghdad.edu.iq/index.php/BSJ/article/view/6674</t>
        </is>
      </c>
    </row>
    <row r="27" ht="55" customHeight="1">
      <c r="A27" s="17" t="inlineStr">
        <is>
          <t>P026</t>
        </is>
      </c>
      <c r="B27" s="17" t="n">
        <v>2026</v>
      </c>
      <c r="C27" s="17" t="inlineStr">
        <is>
          <t>Haisheng Chen</t>
        </is>
      </c>
      <c r="D27" s="17" t="inlineStr">
        <is>
          <t>Intelligent university timetabling: a reinforcement learning enhanced Particle Swarm Optimization framework</t>
        </is>
      </c>
      <c r="E27" s="17" t="inlineStr">
        <is>
          <t>Scientific Reports</t>
        </is>
      </c>
      <c r="F27" s="17" t="inlineStr">
        <is>
          <t>10.1038/s41598-026-64077-8</t>
        </is>
      </c>
      <c r="G27" s="17" t="inlineStr">
        <is>
          <t>University Course Scheduling / UCTP</t>
        </is>
      </c>
      <c r="H27" s="18" t="inlineStr">
        <is>
          <t>CONTEXT_TREND</t>
        </is>
      </c>
      <c r="I27" s="17" t="inlineStr">
        <is>
          <t>Swarm intelligence + reinforcement learning</t>
        </is>
      </c>
      <c r="J27" s="17" t="inlineStr">
        <is>
          <t>PSO — RL-guided adaptive swarm</t>
        </is>
      </c>
      <c r="K27" s="17" t="inlineStr">
        <is>
          <t>Particle Swarm Optimization + Reinforcement Learning via Learning Automata (RLPSO)</t>
        </is>
      </c>
      <c r="L27" s="17" t="inlineStr">
        <is>
          <t>Five problem cases of different complexity; no competition-grade public benchmark</t>
        </is>
      </c>
      <c r="M27" s="17" t="inlineStr">
        <is>
          <t>5 problem cases</t>
        </is>
      </c>
      <c r="N27" s="17" t="inlineStr">
        <is>
          <t>Hard-constraint violations; soft conflicts; convergence cycles</t>
        </is>
      </c>
      <c r="O27" s="17" t="inlineStr">
        <is>
          <t>Problem cases described; public competition benchmark validation still required</t>
        </is>
      </c>
      <c r="P27" s="17" t="inlineStr">
        <is>
          <t>Not verified</t>
        </is>
      </c>
      <c r="Q27" s="17" t="inlineStr">
        <is>
          <t>Low-to-medium for CB-CTT reproducibility</t>
        </is>
      </c>
      <c r="R27" s="17" t="inlineStr">
        <is>
          <t>RQ3; contextual RQ1</t>
        </is>
      </c>
      <c r="S27" s="17" t="inlineStr">
        <is>
          <t>Targeted PSO expansion</t>
        </is>
      </c>
      <c r="T27" s="18" t="inlineStr">
        <is>
          <t>CONTEXT-TREND</t>
        </is>
      </c>
      <c r="U27" s="17" t="inlineStr">
        <is>
          <t>I1,I3,I4,I6,I7</t>
        </is>
      </c>
      <c r="V27" s="17" t="inlineStr">
        <is>
          <t>Recent PSO+RL trend, but the paper explicitly states that validation on public competition-grade benchmarks is still required; contextual trend rather than CB-CTT core evidence</t>
        </is>
      </c>
      <c r="W27" s="19" t="inlineStr">
        <is>
          <t>https://www.nature.com/articles/s41598-026-64077-8</t>
        </is>
      </c>
      <c r="X27" s="27" t="inlineStr">
        <is>
          <t>CONTEXT_ONLY</t>
        </is>
      </c>
      <c r="Y27" s="27" t="inlineStr">
        <is>
          <t>UCTP_UCSP_TREND</t>
        </is>
      </c>
      <c r="Z27" s="27" t="inlineStr">
        <is>
          <t>Trabajo 2015–2026 relevante como tendencia UCTP/UCSP, pero no demuestra equivalencia suficiente con la formulación CB-CTT estándar; se conserva como contexto, no como estudio primario.</t>
        </is>
      </c>
      <c r="AA27" s="27" t="inlineStr">
        <is>
          <t>FULL_TEXT_PUBLIC</t>
        </is>
      </c>
      <c r="AB27" s="27" t="inlineStr">
        <is>
          <t>Trabajo 2015–2026 relevante como tendencia UCTP/UCSP, pero no demuestra equivalencia suficiente con la formulación CB-CTT estándar; se conserva como contexto, no como estudio primario.</t>
        </is>
      </c>
      <c r="AC27" s="27" t="inlineStr">
        <is>
          <t>https://www.nature.com/articles/s41598-026-64077-8</t>
        </is>
      </c>
    </row>
    <row r="28" ht="55" customHeight="1">
      <c r="A28" s="17" t="inlineStr">
        <is>
          <t>P027</t>
        </is>
      </c>
      <c r="B28" s="17" t="n">
        <v>2013</v>
      </c>
      <c r="C28" s="17" t="inlineStr">
        <is>
          <t>Juliana Wahid; Naimah Mohd Hussin</t>
        </is>
      </c>
      <c r="D28" s="17" t="inlineStr">
        <is>
          <t>Harmony Search Algorithm for Curriculum-Based Course Timetabling Problem</t>
        </is>
      </c>
      <c r="E28" s="17" t="inlineStr">
        <is>
          <t>International Journal of Soft Computing and Software Engineering</t>
        </is>
      </c>
      <c r="F28" s="32" t="inlineStr">
        <is>
          <t>10.7321/jscse.v3.n3.55</t>
        </is>
      </c>
      <c r="G28" s="17" t="inlineStr">
        <is>
          <t>CB-CTT</t>
        </is>
      </c>
      <c r="H28" s="18" t="inlineStr">
        <is>
          <t>FOUNDATIONAL_CONTEXT</t>
        </is>
      </c>
      <c r="I28" s="17" t="inlineStr">
        <is>
          <t>Music-inspired / population-based metaheuristic</t>
        </is>
      </c>
      <c r="J28" s="17" t="inlineStr">
        <is>
          <t>Harmony Search</t>
        </is>
      </c>
      <c r="K28" s="17" t="inlineStr">
        <is>
          <t>Harmony Search Algorithm (HSA)</t>
        </is>
      </c>
      <c r="L28" s="17" t="inlineStr">
        <is>
          <t>CB-CTT / ITC-2007-related instances</t>
        </is>
      </c>
      <c r="M28" s="17" t="inlineStr">
        <is>
          <t>Not extracted in current screening</t>
        </is>
      </c>
      <c r="N28" s="17" t="inlineStr">
        <is>
          <t>Penalty / solution quality</t>
        </is>
      </c>
      <c r="O28" s="17" t="inlineStr">
        <is>
          <t>Public benchmark lineage</t>
        </is>
      </c>
      <c r="P28" s="17" t="inlineStr">
        <is>
          <t>Not identified</t>
        </is>
      </c>
      <c r="Q28" s="17" t="inlineStr">
        <is>
          <t>Algorithm and benchmark described; pre-2015 context</t>
        </is>
      </c>
      <c r="R28" s="17" t="inlineStr">
        <is>
          <t>RQ1; RQ3 (historical context)</t>
        </is>
      </c>
      <c r="S28" s="17" t="inlineStr">
        <is>
          <t>Directed search — Harmony Search</t>
        </is>
      </c>
      <c r="T28" s="3" t="inlineStr">
        <is>
          <t>CONTEXT-FOUNDATIONAL</t>
        </is>
      </c>
      <c r="U28" s="17" t="inlineStr">
        <is>
          <t>E7 exception: foundational</t>
        </is>
      </c>
      <c r="V28" s="17" t="inlineStr">
        <is>
          <t>Published before main 2015–2026 window; establishes Harmony Search lineage in CB-CTT.</t>
        </is>
      </c>
      <c r="W28" s="32" t="inlineStr">
        <is>
          <t>https://doi.org/10.7321/jscse.v3.n3.55</t>
        </is>
      </c>
      <c r="X28" s="27" t="inlineStr">
        <is>
          <t>CONTEXT_ONLY</t>
        </is>
      </c>
      <c r="Y28" s="27" t="inlineStr">
        <is>
          <t>FOUNDATIONAL_PRE2015</t>
        </is>
      </c>
      <c r="Z28" s="27" t="inlineStr">
        <is>
          <t>Trabajo fundacional anterior a 2015; se conserva para contexto histórico y taxonomía, pero queda fuera del corpus primario por el criterio temporal.</t>
        </is>
      </c>
      <c r="AA28" s="27" t="inlineStr">
        <is>
          <t>PUBLISHER_OR_REPOSITORY_RECORD</t>
        </is>
      </c>
      <c r="AB28" s="27" t="inlineStr">
        <is>
          <t>Trabajo fundacional anterior a 2015; se conserva para contexto histórico y taxonomía, pero queda fuera del corpus primario por el criterio temporal.</t>
        </is>
      </c>
      <c r="AC28" s="27" t="inlineStr">
        <is>
          <t>https://doi.org/10.7321/jscse.v3.n3.55</t>
        </is>
      </c>
    </row>
    <row r="29" ht="55" customHeight="1">
      <c r="A29" s="17" t="inlineStr">
        <is>
          <t>P028</t>
        </is>
      </c>
      <c r="B29" s="17" t="n">
        <v>2015</v>
      </c>
      <c r="C29" s="17" t="inlineStr">
        <is>
          <t>Juliana Wahid; Naimah Mohd Hussin</t>
        </is>
      </c>
      <c r="D29" s="17" t="inlineStr">
        <is>
          <t>Solving Curriculum Based Course Timetabling by Hybridizing Local Search Based Method within Harmony Search Algorithm</t>
        </is>
      </c>
      <c r="E29" s="17" t="inlineStr">
        <is>
          <t>Communications in Computer and Information Science</t>
        </is>
      </c>
      <c r="F29" s="32" t="inlineStr">
        <is>
          <t>10.1007/978-981-287-936-3_14</t>
        </is>
      </c>
      <c r="G29" s="17" t="inlineStr">
        <is>
          <t>CB-CTT</t>
        </is>
      </c>
      <c r="H29" s="18" t="inlineStr">
        <is>
          <t>CORE_CB-CTT</t>
        </is>
      </c>
      <c r="I29" s="17" t="inlineStr">
        <is>
          <t>Hybrid metaheuristic</t>
        </is>
      </c>
      <c r="J29" s="17" t="inlineStr">
        <is>
          <t>Music-inspired + local search</t>
        </is>
      </c>
      <c r="K29" s="17" t="inlineStr">
        <is>
          <t>Harmony Search + Great Deluge</t>
        </is>
      </c>
      <c r="L29" s="17" t="inlineStr">
        <is>
          <t>CB-CTT / ITC-2007 Track 3</t>
        </is>
      </c>
      <c r="M29" s="17" t="inlineStr">
        <is>
          <t>ITC-2007 CB-CTT instances</t>
        </is>
      </c>
      <c r="N29" s="17" t="inlineStr">
        <is>
          <t>Penalty / soft-constraint cost</t>
        </is>
      </c>
      <c r="O29" s="17" t="inlineStr">
        <is>
          <t>Public benchmark</t>
        </is>
      </c>
      <c r="P29" s="17" t="inlineStr">
        <is>
          <t>Not identified</t>
        </is>
      </c>
      <c r="Q29" s="17" t="inlineStr">
        <is>
          <t>Standard benchmark; method described</t>
        </is>
      </c>
      <c r="R29" s="17" t="inlineStr">
        <is>
          <t>RQ1; RQ2; RQ3</t>
        </is>
      </c>
      <c r="S29" s="17" t="inlineStr">
        <is>
          <t>Directed search — Harmony Search</t>
        </is>
      </c>
      <c r="T29" s="15" t="inlineStr">
        <is>
          <t>INCLUDE</t>
        </is>
      </c>
      <c r="U29" s="17" t="inlineStr">
        <is>
          <t>I1,I2,I3,I4,I5,I6</t>
        </is>
      </c>
      <c r="V29" s="17" t="inlineStr">
        <is>
          <t>Within temporal window and directly addresses CB-CTT using hybrid Harmony Search/local search.</t>
        </is>
      </c>
      <c r="W29" s="32" t="inlineStr">
        <is>
          <t>https://doi.org/10.1007/978-981-287-936-3_14</t>
        </is>
      </c>
      <c r="X29" s="27" t="inlineStr">
        <is>
          <t>INCLUDED_PRIMARY</t>
        </is>
      </c>
      <c r="Y29" s="27" t="inlineStr">
        <is>
          <t>CORE_CB-CTT</t>
        </is>
      </c>
      <c r="Z29" s="27" t="inlineStr">
        <is>
          <t>Cumple ventana 2015–2026 y aborda CB-CTT de forma directa o reporta resultados CB-CTT separables; se incluye en la síntesis primaria.</t>
        </is>
      </c>
      <c r="AA29" s="27" t="inlineStr">
        <is>
          <t>PUBLISHER_OR_REPOSITORY_RECORD</t>
        </is>
      </c>
      <c r="AB29" s="27" t="inlineStr"/>
      <c r="AC29" s="27" t="inlineStr">
        <is>
          <t>https://doi.org/10.1007/978-981-287-936-3_14</t>
        </is>
      </c>
    </row>
    <row r="30" ht="55" customHeight="1">
      <c r="A30" s="17" t="inlineStr">
        <is>
          <t>P029</t>
        </is>
      </c>
      <c r="B30" s="17" t="n">
        <v>2016</v>
      </c>
      <c r="C30" s="17" t="inlineStr">
        <is>
          <t>Patrick Kenekayoro; Godswill Zipamone</t>
        </is>
      </c>
      <c r="D30" s="17" t="inlineStr">
        <is>
          <t>Greedy Ants Colony Optimization Strategy for Solving the Curriculum Based University Course Timetabling Problem</t>
        </is>
      </c>
      <c r="E30" s="17" t="inlineStr">
        <is>
          <t>Journal of Advances in Mathematics and Computer Science</t>
        </is>
      </c>
      <c r="F30" s="32" t="inlineStr">
        <is>
          <t>10.9734/BJMCS/2016/23143</t>
        </is>
      </c>
      <c r="G30" s="17" t="inlineStr">
        <is>
          <t>CB-CTT</t>
        </is>
      </c>
      <c r="H30" s="18" t="inlineStr">
        <is>
          <t>CORE_CB-CTT</t>
        </is>
      </c>
      <c r="I30" s="17" t="inlineStr">
        <is>
          <t>Swarm intelligence</t>
        </is>
      </c>
      <c r="J30" s="17" t="inlineStr">
        <is>
          <t>Ant Colony Optimization</t>
        </is>
      </c>
      <c r="K30" s="17" t="inlineStr">
        <is>
          <t>Greedy Ant System / ACO</t>
        </is>
      </c>
      <c r="L30" s="17" t="inlineStr">
        <is>
          <t>ITC-2007 Track 3 CB-CTT</t>
        </is>
      </c>
      <c r="M30" s="17" t="inlineStr">
        <is>
          <t>ITC-2007 dataset</t>
        </is>
      </c>
      <c r="N30" s="17" t="inlineStr">
        <is>
          <t>Feasibility; penalty / solution quality</t>
        </is>
      </c>
      <c r="O30" s="17" t="inlineStr">
        <is>
          <t>Public ITC-2007 benchmark</t>
        </is>
      </c>
      <c r="P30" s="17" t="inlineStr">
        <is>
          <t>Not identified</t>
        </is>
      </c>
      <c r="Q30" s="17" t="inlineStr">
        <is>
          <t>Public benchmark and algorithm description</t>
        </is>
      </c>
      <c r="R30" s="17" t="inlineStr">
        <is>
          <t>RQ1; RQ2; RQ3</t>
        </is>
      </c>
      <c r="S30" s="17" t="inlineStr">
        <is>
          <t>Directed search — ACO</t>
        </is>
      </c>
      <c r="T30" s="15" t="inlineStr">
        <is>
          <t>INCLUDE</t>
        </is>
      </c>
      <c r="U30" s="17" t="inlineStr">
        <is>
          <t>I1,I2,I3,I4,I5,I6</t>
        </is>
      </c>
      <c r="V30" s="17" t="inlineStr">
        <is>
          <t>Direct ACO application to ITC-2007 curriculum-based benchmark; fills swarm-intelligence gap.</t>
        </is>
      </c>
      <c r="W30" s="32" t="inlineStr">
        <is>
          <t>https://doi.org/10.9734/BJMCS/2016/23143</t>
        </is>
      </c>
      <c r="X30" s="27" t="inlineStr">
        <is>
          <t>INCLUDED_PRIMARY</t>
        </is>
      </c>
      <c r="Y30" s="27" t="inlineStr">
        <is>
          <t>CORE_CB-CTT</t>
        </is>
      </c>
      <c r="Z30" s="27" t="inlineStr">
        <is>
          <t>Cumple ventana 2015–2026 y aborda CB-CTT de forma directa o reporta resultados CB-CTT separables; se incluye en la síntesis primaria.</t>
        </is>
      </c>
      <c r="AA30" s="27" t="inlineStr">
        <is>
          <t>FULL_TEXT_PUBLIC</t>
        </is>
      </c>
      <c r="AB30" s="27" t="inlineStr"/>
      <c r="AC30" s="27" t="inlineStr">
        <is>
          <t>https://doi.org/10.9734/BJMCS/2016/23143</t>
        </is>
      </c>
    </row>
    <row r="31" ht="55" customHeight="1">
      <c r="A31" s="17" t="inlineStr">
        <is>
          <t>P030</t>
        </is>
      </c>
      <c r="B31" s="17" t="n">
        <v>2011</v>
      </c>
      <c r="C31" s="17" t="inlineStr">
        <is>
          <t>Asaju La’aro Bolaji; Ahamad Tajudin Khader; Mohammed Azmi Al-Betar; Mohammed A. Awadallah</t>
        </is>
      </c>
      <c r="D31" s="17" t="inlineStr">
        <is>
          <t>Artificial Bee Colony Algorithm for Curriculum-Based Course Timetabling Problem</t>
        </is>
      </c>
      <c r="E31" s="17" t="inlineStr">
        <is>
          <t>5th International Conference on Information Technology (ICIT 2011)</t>
        </is>
      </c>
      <c r="F31" s="32" t="inlineStr">
        <is>
          <t>Not identified</t>
        </is>
      </c>
      <c r="G31" s="17" t="inlineStr">
        <is>
          <t>CB-CTT</t>
        </is>
      </c>
      <c r="H31" s="18" t="inlineStr">
        <is>
          <t>FOUNDATIONAL_CONTEXT</t>
        </is>
      </c>
      <c r="I31" s="17" t="inlineStr">
        <is>
          <t>Swarm intelligence</t>
        </is>
      </c>
      <c r="J31" s="17" t="inlineStr">
        <is>
          <t>Artificial Bee Colony</t>
        </is>
      </c>
      <c r="K31" s="17" t="inlineStr">
        <is>
          <t>Saturation Degree construction + ABC improvement</t>
        </is>
      </c>
      <c r="L31" s="17" t="inlineStr">
        <is>
          <t>ITC-2007 Track 3 CB-CTT</t>
        </is>
      </c>
      <c r="M31" s="17" t="inlineStr">
        <is>
          <t>ITC-2007 Track 3</t>
        </is>
      </c>
      <c r="N31" s="17" t="inlineStr">
        <is>
          <t>Penalty / solution quality</t>
        </is>
      </c>
      <c r="O31" s="17" t="inlineStr">
        <is>
          <t>Public ITC-2007 benchmark</t>
        </is>
      </c>
      <c r="P31" s="17" t="inlineStr">
        <is>
          <t>Not identified</t>
        </is>
      </c>
      <c r="Q31" s="17" t="inlineStr">
        <is>
          <t>Standard benchmark; pre-2015 foundational method</t>
        </is>
      </c>
      <c r="R31" s="17" t="inlineStr">
        <is>
          <t>RQ1; RQ3 (historical context)</t>
        </is>
      </c>
      <c r="S31" s="17" t="inlineStr">
        <is>
          <t>Directed search — ABC</t>
        </is>
      </c>
      <c r="T31" s="3" t="inlineStr">
        <is>
          <t>CONTEXT-FOUNDATIONAL</t>
        </is>
      </c>
      <c r="U31" s="17" t="inlineStr">
        <is>
          <t>E7 exception: foundational</t>
        </is>
      </c>
      <c r="V31" s="17" t="inlineStr">
        <is>
          <t>Pre-2015 but directly establishes ABC use on ITC-2007 CB-CTT.</t>
        </is>
      </c>
      <c r="W31" s="32" t="inlineStr">
        <is>
          <t>https://scholar.alaqsa.edu.ps/264/</t>
        </is>
      </c>
      <c r="X31" s="27" t="inlineStr">
        <is>
          <t>CONTEXT_ONLY</t>
        </is>
      </c>
      <c r="Y31" s="27" t="inlineStr">
        <is>
          <t>FOUNDATIONAL_PRE2015</t>
        </is>
      </c>
      <c r="Z31" s="27" t="inlineStr">
        <is>
          <t>Trabajo fundacional anterior a 2015; se conserva para contexto histórico y taxonomía, pero queda fuera del corpus primario por el criterio temporal.</t>
        </is>
      </c>
      <c r="AA31" s="27" t="inlineStr">
        <is>
          <t>PUBLISHER_OR_REPOSITORY_RECORD</t>
        </is>
      </c>
      <c r="AB31" s="27" t="inlineStr">
        <is>
          <t>Trabajo fundacional anterior a 2015; se conserva para contexto histórico y taxonomía, pero queda fuera del corpus primario por el criterio temporal.</t>
        </is>
      </c>
      <c r="AC31" s="27" t="inlineStr">
        <is>
          <t>https://scholar.alaqsa.edu.ps/264/</t>
        </is>
      </c>
    </row>
    <row r="32" ht="55" customHeight="1">
      <c r="A32" s="17" t="inlineStr">
        <is>
          <t>P031</t>
        </is>
      </c>
      <c r="B32" s="17" t="n">
        <v>2012</v>
      </c>
      <c r="C32" s="17" t="inlineStr">
        <is>
          <t>Asaju La’aro Bolaji; Ahamad Tajudin Khader; Mohammed Azmi Al-Betar; Mohammed A. Awadallah</t>
        </is>
      </c>
      <c r="D32" s="17" t="inlineStr">
        <is>
          <t>Tackling University Course Timetabling Problem Using Artificial Bee Colony Algorithm</t>
        </is>
      </c>
      <c r="E32" s="17" t="inlineStr">
        <is>
          <t>Publication metadata to verify</t>
        </is>
      </c>
      <c r="F32" s="32" t="inlineStr">
        <is>
          <t>Not verified</t>
        </is>
      </c>
      <c r="G32" s="17" t="inlineStr">
        <is>
          <t>CB-CTT / UCTP</t>
        </is>
      </c>
      <c r="H32" s="18" t="inlineStr">
        <is>
          <t>CORE_PENDING</t>
        </is>
      </c>
      <c r="I32" s="17" t="inlineStr">
        <is>
          <t>Swarm intelligence</t>
        </is>
      </c>
      <c r="J32" s="17" t="inlineStr">
        <is>
          <t>Artificial Bee Colony</t>
        </is>
      </c>
      <c r="K32" s="17" t="inlineStr">
        <is>
          <t>Saturation Degree + ABC</t>
        </is>
      </c>
      <c r="L32" s="17" t="inlineStr">
        <is>
          <t>Curriculum-based timetabling; benchmark details require full-text verification</t>
        </is>
      </c>
      <c r="M32" s="17" t="inlineStr">
        <is>
          <t>To verify</t>
        </is>
      </c>
      <c r="N32" s="17" t="inlineStr">
        <is>
          <t>Penalty / solution quality</t>
        </is>
      </c>
      <c r="O32" s="17" t="inlineStr">
        <is>
          <t>To verify</t>
        </is>
      </c>
      <c r="P32" s="17" t="inlineStr">
        <is>
          <t>Not identified</t>
        </is>
      </c>
      <c r="Q32" s="17" t="inlineStr">
        <is>
          <t>Potential overlap with earlier ABC lineage; bibliographic identity requires verification</t>
        </is>
      </c>
      <c r="R32" s="17" t="inlineStr">
        <is>
          <t>RQ1; RQ3</t>
        </is>
      </c>
      <c r="S32" s="17" t="inlineStr">
        <is>
          <t>Directed ABC search; bibliographic correction during full-text screening</t>
        </is>
      </c>
      <c r="T32" s="18" t="inlineStr">
        <is>
          <t>CONTEXT-FOUNDATIONAL</t>
        </is>
      </c>
      <c r="U32" s="17" t="inlineStr">
        <is>
          <t>I1,I2,I3; I4-I6 to verify</t>
        </is>
      </c>
      <c r="V32" s="17" t="inlineStr">
        <is>
          <t>Full-text/publication evidence places this chapter in Frontiers in Information Technology, MASAUM Network, 2012; outside 2015–2026.</t>
        </is>
      </c>
      <c r="W32" s="32" t="inlineStr">
        <is>
          <t>https://www.researchgate.net/publication/266419407_Tackling_University_Course_Timetabling_Problem_Using_Artificial_Bee_Colony_Algorithm</t>
        </is>
      </c>
      <c r="X32" s="27" t="inlineStr">
        <is>
          <t>CONTEXT_ONLY</t>
        </is>
      </c>
      <c r="Y32" s="27" t="inlineStr">
        <is>
          <t>FOUNDATIONAL_PRE2015</t>
        </is>
      </c>
      <c r="Z32" s="27" t="inlineStr">
        <is>
          <t>Trabajo fundacional anterior a 2015; se conserva para contexto histórico y taxonomía, pero queda fuera del corpus primario por el criterio temporal.</t>
        </is>
      </c>
      <c r="AA32" s="27" t="inlineStr">
        <is>
          <t>FULL_TEXT_PUBLIC</t>
        </is>
      </c>
      <c r="AB32" s="27" t="inlineStr">
        <is>
          <t>Trabajo fundacional anterior a 2015; se conserva para contexto histórico y taxonomía, pero queda fuera del corpus primario por el criterio temporal.</t>
        </is>
      </c>
      <c r="AC32" s="27" t="inlineStr">
        <is>
          <t>https://www.researchgate.net/publication/266419407_Tackling_University_Course_Timetabling_Problem_Using_Artificial_Bee_Colony_Algorithm</t>
        </is>
      </c>
    </row>
    <row r="33" ht="55" customHeight="1">
      <c r="A33" s="17" t="inlineStr">
        <is>
          <t>P032</t>
        </is>
      </c>
      <c r="B33" s="17" t="n">
        <v>2015</v>
      </c>
      <c r="C33" s="17" t="inlineStr">
        <is>
          <t>Elham Ghasemi; Parham Moradi; Mohammad Fathi</t>
        </is>
      </c>
      <c r="D33" s="17" t="inlineStr">
        <is>
          <t>Integrating ABC with genetic grouping for university course timetabling problem</t>
        </is>
      </c>
      <c r="E33" s="17" t="inlineStr">
        <is>
          <t>2015 5th International Conference on Computer and Knowledge Engineering (ICCKE)</t>
        </is>
      </c>
      <c r="F33" s="32" t="inlineStr">
        <is>
          <t>10.1109/ICCKE.2015.7365857</t>
        </is>
      </c>
      <c r="G33" s="17" t="inlineStr">
        <is>
          <t>UCTP / enrolment-based benchmark</t>
        </is>
      </c>
      <c r="H33" s="18" t="inlineStr">
        <is>
          <t>UCTP_EXTENSION</t>
        </is>
      </c>
      <c r="I33" s="17" t="inlineStr">
        <is>
          <t>Hybrid population-based metaheuristic</t>
        </is>
      </c>
      <c r="J33" s="17" t="inlineStr">
        <is>
          <t>Swarm intelligence + evolutionary grouping</t>
        </is>
      </c>
      <c r="K33" s="17" t="inlineStr">
        <is>
          <t>Genetic grouping + Artificial Bee Colony</t>
        </is>
      </c>
      <c r="L33" s="17" t="inlineStr">
        <is>
          <t>Socha dataset</t>
        </is>
      </c>
      <c r="M33" s="17" t="inlineStr">
        <is>
          <t>Socha small/medium/large instances</t>
        </is>
      </c>
      <c r="N33" s="17" t="inlineStr">
        <is>
          <t>Penalty / best-known comparison</t>
        </is>
      </c>
      <c r="O33" s="17" t="inlineStr">
        <is>
          <t>Public benchmark</t>
        </is>
      </c>
      <c r="P33" s="17" t="inlineStr">
        <is>
          <t>Not identified</t>
        </is>
      </c>
      <c r="Q33" s="17" t="inlineStr">
        <is>
          <t>Standard Socha benchmark, but not CB-CTT Track 3</t>
        </is>
      </c>
      <c r="R33" s="17" t="inlineStr">
        <is>
          <t>RQ1; RQ3</t>
        </is>
      </c>
      <c r="S33" s="17" t="inlineStr">
        <is>
          <t>Directed search — ABC</t>
        </is>
      </c>
      <c r="T33" s="18" t="inlineStr">
        <is>
          <t>INCLUDE-EXTENSION</t>
        </is>
      </c>
      <c r="U33" s="17" t="inlineStr">
        <is>
          <t>I1,I3,I4,I5,I6; broader than I2 core</t>
        </is>
      </c>
      <c r="V33" s="17" t="inlineStr">
        <is>
          <t>Useful for algorithm-family evolution, but not directly comparable with ITC-2007 CB-CTT objective values.</t>
        </is>
      </c>
      <c r="W33" s="32" t="inlineStr">
        <is>
          <t>https://doi.org/10.1109/ICCKE.2015.7365857</t>
        </is>
      </c>
      <c r="X33" s="27" t="inlineStr">
        <is>
          <t>EXCLUDED</t>
        </is>
      </c>
      <c r="Y33" s="27" t="inlineStr">
        <is>
          <t>OUT_OF_SCOPE_VARIANT</t>
        </is>
      </c>
      <c r="Z33" s="27" t="inlineStr">
        <is>
          <t>Aborda PE-CTT/enrolment-based timetabling (o benchmark no CB-CTT) y no aporta resultados CB-CTT separables; se excluye del corpus.</t>
        </is>
      </c>
      <c r="AA33" s="27" t="inlineStr">
        <is>
          <t>PUBLISHER_OR_REPOSITORY_RECORD</t>
        </is>
      </c>
      <c r="AB33" s="27" t="inlineStr">
        <is>
          <t>Aborda PE-CTT/enrolment-based timetabling (o benchmark no CB-CTT) y no aporta resultados CB-CTT separables; se excluye del corpus.</t>
        </is>
      </c>
      <c r="AC33" s="27" t="inlineStr">
        <is>
          <t>https://doi.org/10.1109/ICCKE.2015.7365857</t>
        </is>
      </c>
    </row>
    <row r="34" ht="55" customHeight="1">
      <c r="A34" s="17" t="inlineStr">
        <is>
          <t>P033</t>
        </is>
      </c>
      <c r="B34" s="17" t="n">
        <v>2012</v>
      </c>
      <c r="C34" s="17" t="inlineStr">
        <is>
          <t>Khalid Shaker; Salwani Abdullah; Arwa Hatem</t>
        </is>
      </c>
      <c r="D34" s="17" t="inlineStr">
        <is>
          <t>A Differential Evolution Algorithm for the University Course Timetabling Problem</t>
        </is>
      </c>
      <c r="E34" s="17" t="inlineStr">
        <is>
          <t>2012 4th Conference on Data Mining and Optimization (DMO)</t>
        </is>
      </c>
      <c r="F34" s="32" t="inlineStr">
        <is>
          <t>10.1109/DMO.2012.6329805</t>
        </is>
      </c>
      <c r="G34" s="17" t="inlineStr">
        <is>
          <t>UCTP / enrolment-based benchmark</t>
        </is>
      </c>
      <c r="H34" s="18" t="inlineStr">
        <is>
          <t>FOUNDATIONAL_CONTEXT</t>
        </is>
      </c>
      <c r="I34" s="17" t="inlineStr">
        <is>
          <t>Evolutionary metaheuristic</t>
        </is>
      </c>
      <c r="J34" s="17" t="inlineStr">
        <is>
          <t>Differential Evolution</t>
        </is>
      </c>
      <c r="K34" s="17" t="inlineStr">
        <is>
          <t>Differential Evolution (DE)</t>
        </is>
      </c>
      <c r="L34" s="17" t="inlineStr">
        <is>
          <t>11 benchmark datasets (Socha-style small/medium/large)</t>
        </is>
      </c>
      <c r="M34" s="17" t="inlineStr">
        <is>
          <t>11 instances</t>
        </is>
      </c>
      <c r="N34" s="17" t="inlineStr">
        <is>
          <t>Penalty / solution quality</t>
        </is>
      </c>
      <c r="O34" s="17" t="inlineStr">
        <is>
          <t>Public benchmark lineage</t>
        </is>
      </c>
      <c r="P34" s="17" t="inlineStr">
        <is>
          <t>Not identified</t>
        </is>
      </c>
      <c r="Q34" s="17" t="inlineStr">
        <is>
          <t>Benchmark described; pre-2015 context</t>
        </is>
      </c>
      <c r="R34" s="17" t="inlineStr">
        <is>
          <t>RQ1; RQ3 (historical context)</t>
        </is>
      </c>
      <c r="S34" s="17" t="inlineStr">
        <is>
          <t>Directed search — Differential Evolution</t>
        </is>
      </c>
      <c r="T34" s="3" t="inlineStr">
        <is>
          <t>CONTEXT-FOUNDATIONAL</t>
        </is>
      </c>
      <c r="U34" s="17" t="inlineStr">
        <is>
          <t>E7 exception: foundational</t>
        </is>
      </c>
      <c r="V34" s="17" t="inlineStr">
        <is>
          <t>Pre-2015 and not CB-CTT Track 3, but establishes DE lineage in university timetabling.</t>
        </is>
      </c>
      <c r="W34" s="32" t="inlineStr">
        <is>
          <t>https://doi.org/10.1109/DMO.2012.6329805</t>
        </is>
      </c>
      <c r="X34" s="27" t="inlineStr">
        <is>
          <t>CONTEXT_ONLY</t>
        </is>
      </c>
      <c r="Y34" s="27" t="inlineStr">
        <is>
          <t>FOUNDATIONAL_PRE2015</t>
        </is>
      </c>
      <c r="Z34" s="27" t="inlineStr">
        <is>
          <t>Trabajo fundacional anterior a 2015; se conserva para contexto histórico y taxonomía, pero queda fuera del corpus primario por el criterio temporal.</t>
        </is>
      </c>
      <c r="AA34" s="27" t="inlineStr">
        <is>
          <t>PUBLISHER_OR_REPOSITORY_RECORD</t>
        </is>
      </c>
      <c r="AB34" s="27" t="inlineStr">
        <is>
          <t>Trabajo fundacional anterior a 2015; se conserva para contexto histórico y taxonomía, pero queda fuera del corpus primario por el criterio temporal.</t>
        </is>
      </c>
      <c r="AC34" s="27" t="inlineStr">
        <is>
          <t>https://doi.org/10.1109/DMO.2012.6329805</t>
        </is>
      </c>
    </row>
    <row r="35" ht="55" customHeight="1">
      <c r="A35" s="17" t="inlineStr">
        <is>
          <t>P034</t>
        </is>
      </c>
      <c r="B35" s="17" t="n">
        <v>2015</v>
      </c>
      <c r="C35" s="17" t="inlineStr">
        <is>
          <t>Khalid Shaker; Salwani Abdullah; Arwa Alqudsi</t>
        </is>
      </c>
      <c r="D35" s="17" t="inlineStr">
        <is>
          <t>Bacteria Swarm Optimisation Approach for Enrolment-Based Course Timetabling Problems</t>
        </is>
      </c>
      <c r="E35" s="17" t="inlineStr">
        <is>
          <t>7th Multidisciplinary International Conference on Scheduling: Theory and Applications (MISTA 2015)</t>
        </is>
      </c>
      <c r="F35" s="32" t="inlineStr">
        <is>
          <t>Not identified</t>
        </is>
      </c>
      <c r="G35" s="17" t="inlineStr">
        <is>
          <t>PE-CTT / UCTP</t>
        </is>
      </c>
      <c r="H35" s="18" t="inlineStr">
        <is>
          <t>UCTP_EXTENSION</t>
        </is>
      </c>
      <c r="I35" s="17" t="inlineStr">
        <is>
          <t>Hybrid swarm intelligence</t>
        </is>
      </c>
      <c r="J35" s="17" t="inlineStr">
        <is>
          <t>Bacteria Swarm Optimization + Differential Evolution</t>
        </is>
      </c>
      <c r="K35" s="17" t="inlineStr">
        <is>
          <t>BSO with embedded DE</t>
        </is>
      </c>
      <c r="L35" s="17" t="inlineStr">
        <is>
          <t>Socha / enrolment-based benchmark</t>
        </is>
      </c>
      <c r="M35" s="17" t="inlineStr">
        <is>
          <t>11 small/medium/large benchmark instances</t>
        </is>
      </c>
      <c r="N35" s="17" t="inlineStr">
        <is>
          <t>Penalty; convergence</t>
        </is>
      </c>
      <c r="O35" s="17" t="inlineStr">
        <is>
          <t>Public benchmark</t>
        </is>
      </c>
      <c r="P35" s="17" t="inlineStr">
        <is>
          <t>Not identified</t>
        </is>
      </c>
      <c r="Q35" s="17" t="inlineStr">
        <is>
          <t>Standard benchmark, but PE/Socha rather than CB-CTT Track 3</t>
        </is>
      </c>
      <c r="R35" s="17" t="inlineStr">
        <is>
          <t>RQ1; RQ3</t>
        </is>
      </c>
      <c r="S35" s="17" t="inlineStr">
        <is>
          <t>Directed search — Differential Evolution</t>
        </is>
      </c>
      <c r="T35" s="18" t="inlineStr">
        <is>
          <t>INCLUDE-EXTENSION</t>
        </is>
      </c>
      <c r="U35" s="17" t="inlineStr">
        <is>
          <t>I1,I3,I4,I5,I6; outside core I2</t>
        </is>
      </c>
      <c r="V35" s="17" t="inlineStr">
        <is>
          <t>DE appears as embedded operator in BSO; relevant to method evolution but not core CB-CTT.</t>
        </is>
      </c>
      <c r="W35" s="32" t="inlineStr">
        <is>
          <t>https://www.graham-kendall.com/publications/index.php?filename=mista.bib&amp;pagedesc=MISTA+Conference&amp;type=conference</t>
        </is>
      </c>
      <c r="X35" s="27" t="inlineStr">
        <is>
          <t>EXCLUDED</t>
        </is>
      </c>
      <c r="Y35" s="27" t="inlineStr">
        <is>
          <t>OUT_OF_SCOPE_VARIANT</t>
        </is>
      </c>
      <c r="Z35" s="27" t="inlineStr">
        <is>
          <t>Aborda PE-CTT/enrolment-based timetabling (o benchmark no CB-CTT) y no aporta resultados CB-CTT separables; se excluye del corpus.</t>
        </is>
      </c>
      <c r="AA35" s="27" t="inlineStr">
        <is>
          <t>PUBLISHER_OR_REPOSITORY_RECORD</t>
        </is>
      </c>
      <c r="AB35" s="27" t="inlineStr">
        <is>
          <t>Aborda PE-CTT/enrolment-based timetabling (o benchmark no CB-CTT) y no aporta resultados CB-CTT separables; se excluye del corpus.</t>
        </is>
      </c>
      <c r="AC35" s="27" t="inlineStr">
        <is>
          <t>https://www.graham-kendall.com/publications/index.php?filename=mista.bib&amp;pagedesc=MISTA+Conference&amp;type=conference</t>
        </is>
      </c>
    </row>
    <row r="36" ht="55" customHeight="1">
      <c r="A36" s="17" t="inlineStr">
        <is>
          <t>P035</t>
        </is>
      </c>
      <c r="B36" s="17" t="n">
        <v>2016</v>
      </c>
      <c r="C36" s="17" t="inlineStr">
        <is>
          <t>Jorge A. Soria-Alcaraz; Ender Özcan; Jerry Swan; Graham Kendall; Martin Carpio</t>
        </is>
      </c>
      <c r="D36" s="17" t="inlineStr">
        <is>
          <t>Iterated local search using an add and delete hyper-heuristic for university course timetabling</t>
        </is>
      </c>
      <c r="E36" s="17" t="inlineStr">
        <is>
          <t>Applied Soft Computing</t>
        </is>
      </c>
      <c r="F36" s="32" t="inlineStr">
        <is>
          <t>10.1016/j.asoc.2015.11.043</t>
        </is>
      </c>
      <c r="G36" s="17" t="inlineStr">
        <is>
          <t>UCTP including ITC-2007 Tracks 2 and 3</t>
        </is>
      </c>
      <c r="H36" s="18" t="inlineStr">
        <is>
          <t>CORE_CB-CTT_MIXED</t>
        </is>
      </c>
      <c r="I36" s="17" t="inlineStr">
        <is>
          <t>Hyper-heuristic / local search</t>
        </is>
      </c>
      <c r="J36" s="17" t="inlineStr">
        <is>
          <t>Selection/generation hyper-heuristic</t>
        </is>
      </c>
      <c r="K36" s="17" t="inlineStr">
        <is>
          <t>Iterated Local Search + add/delete-list hyper-heuristic</t>
        </is>
      </c>
      <c r="L36" s="17" t="inlineStr">
        <is>
          <t>ITC-2007 Tracks 2 and 3</t>
        </is>
      </c>
      <c r="M36" s="17" t="inlineStr">
        <is>
          <t>Real-world competition instances from both tracks</t>
        </is>
      </c>
      <c r="N36" s="17" t="inlineStr">
        <is>
          <t>Penalty / best solutions</t>
        </is>
      </c>
      <c r="O36" s="17" t="inlineStr">
        <is>
          <t>Public ITC-2007 benchmarks</t>
        </is>
      </c>
      <c r="P36" s="17" t="inlineStr">
        <is>
          <t>Not identified</t>
        </is>
      </c>
      <c r="Q36" s="17" t="inlineStr">
        <is>
          <t>Standard competition benchmarks; includes CB-CTT Track 3</t>
        </is>
      </c>
      <c r="R36" s="17" t="inlineStr">
        <is>
          <t>RQ1; RQ2; RQ3</t>
        </is>
      </c>
      <c r="S36" s="17" t="inlineStr">
        <is>
          <t>Final directed search — Hyper-Heuristics</t>
        </is>
      </c>
      <c r="T36" s="15" t="inlineStr">
        <is>
          <t>INCLUDE</t>
        </is>
      </c>
      <c r="U36" s="17" t="inlineStr">
        <is>
          <t>I1,I2,I3,I4,I5,I6</t>
        </is>
      </c>
      <c r="V36" s="17" t="inlineStr">
        <is>
          <t>Important hyper-heuristic paper covering ITC-2007 Track 3; retain but distinguish mixed-track experiments.</t>
        </is>
      </c>
      <c r="W36" s="32" t="inlineStr">
        <is>
          <t>https://doi.org/10.1016/j.asoc.2015.11.043</t>
        </is>
      </c>
      <c r="X36" s="27" t="inlineStr">
        <is>
          <t>INCLUDED_PRIMARY</t>
        </is>
      </c>
      <c r="Y36" s="27" t="inlineStr">
        <is>
          <t>CORE_CB-CTT</t>
        </is>
      </c>
      <c r="Z36" s="27" t="inlineStr">
        <is>
          <t>Cumple ventana 2015–2026 y aborda CB-CTT de forma directa o reporta resultados CB-CTT separables; se incluye en la síntesis primaria.</t>
        </is>
      </c>
      <c r="AA36" s="27" t="inlineStr">
        <is>
          <t>FULL_TEXT_PUBLIC</t>
        </is>
      </c>
      <c r="AB36" s="27" t="inlineStr"/>
      <c r="AC36" s="27" t="inlineStr">
        <is>
          <t>https://doi.org/10.1016/j.asoc.2015.11.043</t>
        </is>
      </c>
    </row>
    <row r="37" ht="55" customHeight="1">
      <c r="A37" s="17" t="inlineStr">
        <is>
          <t>P036</t>
        </is>
      </c>
      <c r="B37" s="17" t="n">
        <v>2016</v>
      </c>
      <c r="C37" s="17" t="inlineStr">
        <is>
          <t>Ahmed H. Yousef; Cherif Salama; Mohammad Y. Jad; Tarek El-Gafy; Mona Matar; Suzanne S. Habashi</t>
        </is>
      </c>
      <c r="D37" s="17" t="inlineStr">
        <is>
          <t>A GPU Based Genetic Algorithm Solution for the Timetabling Problem</t>
        </is>
      </c>
      <c r="E37" s="17" t="inlineStr">
        <is>
          <t>2016 11th International Conference on Computer Engineering &amp; Systems (ICCES)</t>
        </is>
      </c>
      <c r="F37" s="32" t="inlineStr">
        <is>
          <t>10.1109/ICCES.2016.7821982</t>
        </is>
      </c>
      <c r="G37" s="17" t="inlineStr">
        <is>
          <t>CB-CTT / UCTP</t>
        </is>
      </c>
      <c r="H37" s="18" t="inlineStr">
        <is>
          <t>CORE_CB-CTT</t>
        </is>
      </c>
      <c r="I37" s="17" t="inlineStr">
        <is>
          <t>Evolutionary / hybrid metaheuristic</t>
        </is>
      </c>
      <c r="J37" s="17" t="inlineStr">
        <is>
          <t>Genetic Algorithm + local search + GPU acceleration</t>
        </is>
      </c>
      <c r="K37" s="17" t="inlineStr">
        <is>
          <t>GPU-based GA with local search</t>
        </is>
      </c>
      <c r="L37" s="17" t="inlineStr">
        <is>
          <t>ITC-2007 Track 3; additional large instances including Erlangen</t>
        </is>
      </c>
      <c r="M37" s="17" t="inlineStr">
        <is>
          <t>ITC-2007 CB-CTT, including comp instances</t>
        </is>
      </c>
      <c r="N37" s="17" t="inlineStr">
        <is>
          <t>Penalty; runtime / speedup</t>
        </is>
      </c>
      <c r="O37" s="17" t="inlineStr">
        <is>
          <t>Public benchmark</t>
        </is>
      </c>
      <c r="P37" s="17" t="inlineStr">
        <is>
          <t>Not identified</t>
        </is>
      </c>
      <c r="Q37" s="17" t="inlineStr">
        <is>
          <t>Standard ITC benchmark; implementation details reported</t>
        </is>
      </c>
      <c r="R37" s="17" t="inlineStr">
        <is>
          <t>RQ1; RQ2; RQ3</t>
        </is>
      </c>
      <c r="S37" s="17" t="inlineStr">
        <is>
          <t>Final directed search — Genetic Algorithm</t>
        </is>
      </c>
      <c r="T37" s="15" t="inlineStr">
        <is>
          <t>INCLUDE</t>
        </is>
      </c>
      <c r="U37" s="17" t="inlineStr">
        <is>
          <t>I1,I2,I3,I4,I5,I6</t>
        </is>
      </c>
      <c r="V37" s="17" t="inlineStr">
        <is>
          <t>Direct GA/LS approach tested on ITC-2007 Track 3; fills evolutionary core coverage.</t>
        </is>
      </c>
      <c r="W37" s="32" t="inlineStr">
        <is>
          <t>https://doi.org/10.1109/ICCES.2016.7821982</t>
        </is>
      </c>
      <c r="X37" s="27" t="inlineStr">
        <is>
          <t>INCLUDED_PRIMARY</t>
        </is>
      </c>
      <c r="Y37" s="27" t="inlineStr">
        <is>
          <t>CORE_CB-CTT</t>
        </is>
      </c>
      <c r="Z37" s="27" t="inlineStr">
        <is>
          <t>Cumple ventana 2015–2026 y aborda CB-CTT de forma directa o reporta resultados CB-CTT separables; se incluye en la síntesis primaria.</t>
        </is>
      </c>
      <c r="AA37" s="27" t="inlineStr">
        <is>
          <t>FULL_TEXT_PUBLIC</t>
        </is>
      </c>
      <c r="AB37" s="27" t="inlineStr"/>
      <c r="AC37" s="27" t="inlineStr">
        <is>
          <t>https://doi.org/10.1109/ICCES.2016.7821982</t>
        </is>
      </c>
    </row>
    <row r="38" ht="55" customHeight="1">
      <c r="A38" s="17" t="inlineStr">
        <is>
          <t>P037</t>
        </is>
      </c>
      <c r="B38" s="17" t="n">
        <v>2018</v>
      </c>
      <c r="C38" s="17" t="inlineStr">
        <is>
          <t>Junrie B. Matias; Arnel C. Fajardo; Ruji P. Medina</t>
        </is>
      </c>
      <c r="D38" s="17" t="inlineStr">
        <is>
          <t>Examining Genetic Algorithm with Guided Search and Self-Adaptive Neighborhood Strategies for Curriculum-Based Course Timetable Problem</t>
        </is>
      </c>
      <c r="E38" s="17" t="inlineStr">
        <is>
          <t>2018 4th International Conference on Advances in Computing, Communication &amp; Automation (ICACCA)</t>
        </is>
      </c>
      <c r="F38" s="32" t="inlineStr">
        <is>
          <t>10.1109/ICACCAF.2018.8776728</t>
        </is>
      </c>
      <c r="G38" s="17" t="inlineStr">
        <is>
          <t>CB-CTT</t>
        </is>
      </c>
      <c r="H38" s="18" t="inlineStr">
        <is>
          <t>CORE_CB-CTT</t>
        </is>
      </c>
      <c r="I38" s="17" t="inlineStr">
        <is>
          <t>Evolutionary / hybrid metaheuristic</t>
        </is>
      </c>
      <c r="J38" s="17" t="inlineStr">
        <is>
          <t>Genetic Algorithm + adaptive neighborhoods</t>
        </is>
      </c>
      <c r="K38" s="17" t="inlineStr">
        <is>
          <t>GA + guided search + self-adaptive neighborhood selection</t>
        </is>
      </c>
      <c r="L38" s="17" t="inlineStr">
        <is>
          <t>Curriculum-based course timetabling benchmark</t>
        </is>
      </c>
      <c r="M38" s="17" t="inlineStr">
        <is>
          <t>Benchmark instances; full extraction pending</t>
        </is>
      </c>
      <c r="N38" s="17" t="inlineStr">
        <is>
          <t>Penalty / solution quality</t>
        </is>
      </c>
      <c r="O38" s="17" t="inlineStr">
        <is>
          <t>Benchmark-based</t>
        </is>
      </c>
      <c r="P38" s="17" t="inlineStr">
        <is>
          <t>Not identified</t>
        </is>
      </c>
      <c r="Q38" s="17" t="inlineStr">
        <is>
          <t>Method and benchmark reported; full instance extraction pending</t>
        </is>
      </c>
      <c r="R38" s="17" t="inlineStr">
        <is>
          <t>RQ1; RQ3</t>
        </is>
      </c>
      <c r="S38" s="17" t="inlineStr">
        <is>
          <t>Final directed search — Genetic Algorithm</t>
        </is>
      </c>
      <c r="T38" s="15" t="inlineStr">
        <is>
          <t>INCLUDE</t>
        </is>
      </c>
      <c r="U38" s="17" t="inlineStr">
        <is>
          <t>I1,I2,I3,I4,I6; I5 details to extract</t>
        </is>
      </c>
      <c r="V38" s="17" t="inlineStr">
        <is>
          <t>Direct CB-CTT GA with self-adaptive neighborhoods; strengthens evolutionary/adaptive trend coverage.</t>
        </is>
      </c>
      <c r="W38" s="32" t="inlineStr">
        <is>
          <t>https://doi.org/10.1109/ICACCAF.2018.8776728</t>
        </is>
      </c>
      <c r="X38" s="27" t="inlineStr">
        <is>
          <t>INCLUDED_PRIMARY</t>
        </is>
      </c>
      <c r="Y38" s="27" t="inlineStr">
        <is>
          <t>CORE_CB-CTT</t>
        </is>
      </c>
      <c r="Z38" s="27" t="inlineStr">
        <is>
          <t>Cumple ventana 2015–2026 y aborda CB-CTT de forma directa o reporta resultados CB-CTT separables; se incluye en la síntesis primaria.</t>
        </is>
      </c>
      <c r="AA38" s="27" t="inlineStr">
        <is>
          <t>PUBLISHER_OR_REPOSITORY_RECORD</t>
        </is>
      </c>
      <c r="AB38" s="27" t="inlineStr"/>
      <c r="AC38" s="27" t="inlineStr">
        <is>
          <t>https://doi.org/10.1109/ICACCAF.2018.8776728</t>
        </is>
      </c>
    </row>
    <row r="39" ht="55" customHeight="1">
      <c r="A39" s="17" t="inlineStr">
        <is>
          <t>P038</t>
        </is>
      </c>
      <c r="B39" s="17" t="n">
        <v>2026</v>
      </c>
      <c r="C39" s="17" t="inlineStr">
        <is>
          <t>Tam Minh Nguyen</t>
        </is>
      </c>
      <c r="D39" s="17" t="inlineStr">
        <is>
          <t>Adaptive Penalty-Guided VND with CP-SAT for Curriculum-Based Course Timetabling</t>
        </is>
      </c>
      <c r="E39" s="17" t="inlineStr">
        <is>
          <t>SCITEPRESS conference proceedings (2026)</t>
        </is>
      </c>
      <c r="F39" s="32" t="inlineStr">
        <is>
          <t>10.5220/0014437700004052</t>
        </is>
      </c>
      <c r="G39" s="17" t="inlineStr">
        <is>
          <t>CB-CTT</t>
        </is>
      </c>
      <c r="H39" s="18" t="inlineStr">
        <is>
          <t>CORE_CB-CTT</t>
        </is>
      </c>
      <c r="I39" s="17" t="inlineStr">
        <is>
          <t>Hybrid exact + local search</t>
        </is>
      </c>
      <c r="J39" s="17" t="inlineStr">
        <is>
          <t>Variable Neighborhood Descent + Constraint Programming</t>
        </is>
      </c>
      <c r="K39" s="17" t="inlineStr">
        <is>
          <t>CP-SAT initialization + adaptive penalty-guided VND + Kempe-chain/min-cost flow</t>
        </is>
      </c>
      <c r="L39" s="17" t="inlineStr">
        <is>
          <t>ITC-2007 Track 3</t>
        </is>
      </c>
      <c r="M39" s="17" t="inlineStr">
        <is>
          <t>ITC-2007 Track 3 benchmark</t>
        </is>
      </c>
      <c r="N39" s="17" t="inlineStr">
        <is>
          <t>Objective penalty; solution quality; runtime</t>
        </is>
      </c>
      <c r="O39" s="17" t="inlineStr">
        <is>
          <t>Public ITC-2007 benchmark</t>
        </is>
      </c>
      <c r="P39" s="17" t="inlineStr">
        <is>
          <t>Not identified</t>
        </is>
      </c>
      <c r="Q39" s="17" t="inlineStr">
        <is>
          <t>Explicit standard benchmark and algorithm configuration</t>
        </is>
      </c>
      <c r="R39" s="17" t="inlineStr">
        <is>
          <t>RQ1; RQ2; RQ3; RQ4</t>
        </is>
      </c>
      <c r="S39" s="17" t="inlineStr">
        <is>
          <t>Final directed search — VNS/VND</t>
        </is>
      </c>
      <c r="T39" s="15" t="inlineStr">
        <is>
          <t>INCLUDE</t>
        </is>
      </c>
      <c r="U39" s="17" t="inlineStr">
        <is>
          <t>I1,I2,I3,I4,I5,I6</t>
        </is>
      </c>
      <c r="V39" s="17" t="inlineStr">
        <is>
          <t>Direct 2026 VND/CP-SAT method on ITC-2007 Track 3; fills VNS/VND gap in recent core literature.</t>
        </is>
      </c>
      <c r="W39" s="32" t="inlineStr">
        <is>
          <t>https://www.scitepress.org/PublishedPapers/2026/144377/</t>
        </is>
      </c>
      <c r="X39" s="27" t="inlineStr">
        <is>
          <t>INCLUDED_PRIMARY</t>
        </is>
      </c>
      <c r="Y39" s="27" t="inlineStr">
        <is>
          <t>CORE_CB-CTT</t>
        </is>
      </c>
      <c r="Z39" s="27" t="inlineStr">
        <is>
          <t>Cumple ventana 2015–2026 y aborda CB-CTT de forma directa o reporta resultados CB-CTT separables; se incluye en la síntesis primaria.</t>
        </is>
      </c>
      <c r="AA39" s="27" t="inlineStr">
        <is>
          <t>FULL_TEXT_PUBLIC</t>
        </is>
      </c>
      <c r="AB39" s="27" t="inlineStr"/>
      <c r="AC39" s="27" t="inlineStr">
        <is>
          <t>https://www.scitepress.org/PublishedPapers/2026/144377/</t>
        </is>
      </c>
    </row>
    <row r="40" ht="55" customHeight="1">
      <c r="A40" s="17" t="inlineStr">
        <is>
          <t>P039</t>
        </is>
      </c>
      <c r="B40" s="17" t="n">
        <v>2023</v>
      </c>
      <c r="C40" s="17" t="inlineStr">
        <is>
          <t>Rakesh P. Badoni; Jayakrushna Sahoo; Shwetabh Srivastava; Mukesh Mann; D. K. Gupta; Swati Verma; Predrag S. Stanimirović; Lev A. Kazakovtsev; Darjan Karabašević</t>
        </is>
      </c>
      <c r="D40" s="17" t="inlineStr">
        <is>
          <t>An Exploration and Exploitation-Based Metaheuristic Approach for University Course Timetabling Problems</t>
        </is>
      </c>
      <c r="E40" s="17" t="inlineStr">
        <is>
          <t>Axioms</t>
        </is>
      </c>
      <c r="F40" s="32" t="inlineStr">
        <is>
          <t>10.3390/axioms12080720</t>
        </is>
      </c>
      <c r="G40" s="17" t="inlineStr">
        <is>
          <t>CB-CTT + PE-CTT</t>
        </is>
      </c>
      <c r="H40" s="18" t="inlineStr">
        <is>
          <t>CORE_CB-CTT_MIXED</t>
        </is>
      </c>
      <c r="I40" s="17" t="inlineStr">
        <is>
          <t>Hybrid evolutionary + local search</t>
        </is>
      </c>
      <c r="J40" s="17" t="inlineStr">
        <is>
          <t>Genetic Algorithm + Iterated Local Search</t>
        </is>
      </c>
      <c r="K40" s="17" t="inlineStr">
        <is>
          <t>GA exploration + ILS exploitation</t>
        </is>
      </c>
      <c r="L40" s="17" t="inlineStr">
        <is>
          <t>CB-CTT and PE-CTT benchmark variants</t>
        </is>
      </c>
      <c r="M40" s="17" t="inlineStr">
        <is>
          <t>Multiple benchmark instances across both variants</t>
        </is>
      </c>
      <c r="N40" s="17" t="inlineStr">
        <is>
          <t>Penalty; comparative statistical tests</t>
        </is>
      </c>
      <c r="O40" s="17" t="inlineStr">
        <is>
          <t>Public benchmark datasets</t>
        </is>
      </c>
      <c r="P40" s="17" t="inlineStr">
        <is>
          <t>Not identified</t>
        </is>
      </c>
      <c r="Q40" s="17" t="inlineStr">
        <is>
          <t>Benchmark-based comparisons and statistical testing</t>
        </is>
      </c>
      <c r="R40" s="17" t="inlineStr">
        <is>
          <t>RQ1; RQ2; RQ3</t>
        </is>
      </c>
      <c r="S40" s="17" t="inlineStr">
        <is>
          <t>Final directed search — Genetic Algorithm</t>
        </is>
      </c>
      <c r="T40" s="15" t="inlineStr">
        <is>
          <t>INCLUDE</t>
        </is>
      </c>
      <c r="U40" s="17" t="inlineStr">
        <is>
          <t>I1,I2,I3,I4,I5,I6</t>
        </is>
      </c>
      <c r="V40" s="17" t="inlineStr">
        <is>
          <t>Recent hybrid GA+ILS evaluated on CB-CTT as well as PE-CTT; useful for hybridization trend, with results separated by variant.</t>
        </is>
      </c>
      <c r="W40" s="32" t="inlineStr">
        <is>
          <t>https://doi.org/10.3390/axioms12080720</t>
        </is>
      </c>
      <c r="X40" s="27" t="inlineStr">
        <is>
          <t>INCLUDED_PRIMARY</t>
        </is>
      </c>
      <c r="Y40" s="27" t="inlineStr">
        <is>
          <t>CORE_CB-CTT</t>
        </is>
      </c>
      <c r="Z40" s="27" t="inlineStr">
        <is>
          <t>Cumple ventana 2015–2026 y aborda CB-CTT de forma directa o reporta resultados CB-CTT separables; se incluye en la síntesis primaria.</t>
        </is>
      </c>
      <c r="AA40" s="27" t="inlineStr">
        <is>
          <t>FULL_TEXT_PUBLIC</t>
        </is>
      </c>
      <c r="AB40" s="27" t="inlineStr"/>
      <c r="AC40" s="27" t="inlineStr">
        <is>
          <t>https://doi.org/10.3390/axioms12080720</t>
        </is>
      </c>
    </row>
    <row r="41" ht="55" customHeight="1">
      <c r="A41" s="17" t="inlineStr">
        <is>
          <t>P040</t>
        </is>
      </c>
      <c r="B41" s="17" t="n">
        <v>2026</v>
      </c>
      <c r="C41" s="17" t="inlineStr">
        <is>
          <t>Zizhuang Zhu; Yongquan Zhou; Qifang Luo</t>
        </is>
      </c>
      <c r="D41" s="17" t="inlineStr">
        <is>
          <t>A hyper-heuristic algorithm based on genetic and greedy strategy for university course scheduling problem</t>
        </is>
      </c>
      <c r="E41" s="17" t="inlineStr">
        <is>
          <t>Applied Soft Computing</t>
        </is>
      </c>
      <c r="F41" s="32" t="inlineStr">
        <is>
          <t>10.1016/j.asoc.2025.114150</t>
        </is>
      </c>
      <c r="G41" s="17" t="inlineStr">
        <is>
          <t>UCSP</t>
        </is>
      </c>
      <c r="H41" s="18" t="inlineStr">
        <is>
          <t>UCTP_UCSP_EXTENSION</t>
        </is>
      </c>
      <c r="I41" s="17" t="inlineStr">
        <is>
          <t>Hyper-heuristic / evolutionary</t>
        </is>
      </c>
      <c r="J41" s="17" t="inlineStr">
        <is>
          <t>Genetic + greedy hyper-heuristic</t>
        </is>
      </c>
      <c r="K41" s="17" t="inlineStr">
        <is>
          <t>High-level genetic/greedy hyper-heuristic</t>
        </is>
      </c>
      <c r="L41" s="17" t="inlineStr">
        <is>
          <t>Small- and large-scale UCSP instances</t>
        </is>
      </c>
      <c r="M41" s="17" t="inlineStr">
        <is>
          <t>Institutional/model-specific instances</t>
        </is>
      </c>
      <c r="N41" s="17" t="inlineStr">
        <is>
          <t>Scheduling objective values / comparative performance</t>
        </is>
      </c>
      <c r="O41" s="17" t="inlineStr">
        <is>
          <t>Described in article; not standard CB-CTT benchmark</t>
        </is>
      </c>
      <c r="P41" s="17" t="inlineStr">
        <is>
          <t>Not identified</t>
        </is>
      </c>
      <c r="Q41" s="17" t="inlineStr">
        <is>
          <t>Experiments reported, but formulation is broader UCSP rather than standard CB-CTT</t>
        </is>
      </c>
      <c r="R41" s="17" t="inlineStr">
        <is>
          <t>RQ1; RQ3</t>
        </is>
      </c>
      <c r="S41" s="17" t="inlineStr">
        <is>
          <t>Final directed search — Hyper-Heuristics</t>
        </is>
      </c>
      <c r="T41" s="18" t="inlineStr">
        <is>
          <t>INCLUDE-EXTENSION</t>
        </is>
      </c>
      <c r="U41" s="17" t="inlineStr">
        <is>
          <t>I1,I3,I4,I5,I6; outside strict I2</t>
        </is>
      </c>
      <c r="V41" s="17" t="inlineStr">
        <is>
          <t>Strong 2026 hyper-heuristic trend signal, but not directly comparable to ITC-2007 CB-CTT.</t>
        </is>
      </c>
      <c r="W41" s="32" t="inlineStr">
        <is>
          <t>https://doi.org/10.1016/j.asoc.2025.114150</t>
        </is>
      </c>
      <c r="X41" s="27" t="inlineStr">
        <is>
          <t>CONTEXT_ONLY</t>
        </is>
      </c>
      <c r="Y41" s="27" t="inlineStr">
        <is>
          <t>UCTP_UCSP_TREND</t>
        </is>
      </c>
      <c r="Z41" s="27" t="inlineStr">
        <is>
          <t>Trabajo 2015–2026 relevante como tendencia UCTP/UCSP, pero no demuestra equivalencia suficiente con la formulación CB-CTT estándar; se conserva como contexto, no como estudio primario.</t>
        </is>
      </c>
      <c r="AA41" s="27" t="inlineStr">
        <is>
          <t>PUBLISHER_OR_REPOSITORY_RECORD</t>
        </is>
      </c>
      <c r="AB41" s="27" t="inlineStr">
        <is>
          <t>Trabajo 2015–2026 relevante como tendencia UCTP/UCSP, pero no demuestra equivalencia suficiente con la formulación CB-CTT estándar; se conserva como contexto, no como estudio primario.</t>
        </is>
      </c>
      <c r="AC41" s="27" t="inlineStr">
        <is>
          <t>https://doi.org/10.1016/j.asoc.2025.114150</t>
        </is>
      </c>
    </row>
  </sheetData>
  <autoFilter ref="A1:AC4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00" customWidth="1" min="3" max="3"/>
  </cols>
  <sheetData>
    <row r="1">
      <c r="A1" s="20" t="inlineStr">
        <is>
          <t>Type</t>
        </is>
      </c>
      <c r="B1" s="20" t="inlineStr">
        <is>
          <t>ID</t>
        </is>
      </c>
      <c r="C1" s="20" t="inlineStr">
        <is>
          <t>Criterion</t>
        </is>
      </c>
    </row>
    <row r="2">
      <c r="A2" s="21" t="inlineStr">
        <is>
          <t>INCLUDE</t>
        </is>
      </c>
      <c r="B2" s="21" t="inlineStr">
        <is>
          <t>I1</t>
        </is>
      </c>
      <c r="C2" s="21" t="inlineStr">
        <is>
          <t>Published 2015-2026, except foundational/context works</t>
        </is>
      </c>
    </row>
    <row r="3">
      <c r="A3" s="21" t="inlineStr">
        <is>
          <t>INCLUDE</t>
        </is>
      </c>
      <c r="B3" s="21" t="inlineStr">
        <is>
          <t>I2</t>
        </is>
      </c>
      <c r="C3" s="21" t="inlineStr">
        <is>
          <t>Explicitly studies CB-CTT or a directly relevant extension</t>
        </is>
      </c>
    </row>
    <row r="4">
      <c r="A4" s="21" t="inlineStr">
        <is>
          <t>INCLUDE</t>
        </is>
      </c>
      <c r="B4" s="21" t="inlineStr">
        <is>
          <t>I3</t>
        </is>
      </c>
      <c r="C4" s="21" t="inlineStr">
        <is>
          <t>Proposes, evaluates or compares a computational method</t>
        </is>
      </c>
    </row>
    <row r="5">
      <c r="A5" s="21" t="inlineStr">
        <is>
          <t>INCLUDE</t>
        </is>
      </c>
      <c r="B5" s="21" t="inlineStr">
        <is>
          <t>I4</t>
        </is>
      </c>
      <c r="C5" s="21" t="inlineStr">
        <is>
          <t>Contains experimental results or benchmark analysis</t>
        </is>
      </c>
    </row>
    <row r="6">
      <c r="A6" s="21" t="inlineStr">
        <is>
          <t>INCLUDE</t>
        </is>
      </c>
      <c r="B6" s="21" t="inlineStr">
        <is>
          <t>I5</t>
        </is>
      </c>
      <c r="C6" s="21" t="inlineStr">
        <is>
          <t>Uses identifiable benchmark instances or described institutional data</t>
        </is>
      </c>
    </row>
    <row r="7">
      <c r="A7" s="21" t="inlineStr">
        <is>
          <t>INCLUDE</t>
        </is>
      </c>
      <c r="B7" s="21" t="inlineStr">
        <is>
          <t>I6</t>
        </is>
      </c>
      <c r="C7" s="21" t="inlineStr">
        <is>
          <t>Peer-reviewed academic publication, except essential benchmark resources</t>
        </is>
      </c>
    </row>
    <row r="8">
      <c r="A8" s="21" t="inlineStr">
        <is>
          <t>INCLUDE</t>
        </is>
      </c>
      <c r="B8" s="21" t="inlineStr">
        <is>
          <t>I7</t>
        </is>
      </c>
      <c r="C8" s="21" t="inlineStr">
        <is>
          <t>Sufficient full text/metadata available in English or Spanish</t>
        </is>
      </c>
    </row>
    <row r="9">
      <c r="A9" s="22" t="inlineStr">
        <is>
          <t>EXCLUDE</t>
        </is>
      </c>
      <c r="B9" s="22" t="inlineStr">
        <is>
          <t>E1</t>
        </is>
      </c>
      <c r="C9" s="22" t="inlineStr">
        <is>
          <t>Not actually university/course timetabling</t>
        </is>
      </c>
    </row>
    <row r="10">
      <c r="A10" s="22" t="inlineStr">
        <is>
          <t>EXCLUDE</t>
        </is>
      </c>
      <c r="B10" s="22" t="inlineStr">
        <is>
          <t>E2</t>
        </is>
      </c>
      <c r="C10" s="22" t="inlineStr">
        <is>
          <t>Exam timetabling only, with no CB-CTT relevance</t>
        </is>
      </c>
    </row>
    <row r="11">
      <c r="A11" s="22" t="inlineStr">
        <is>
          <t>EXCLUDE</t>
        </is>
      </c>
      <c r="B11" s="22" t="inlineStr">
        <is>
          <t>E3</t>
        </is>
      </c>
      <c r="C11" s="22" t="inlineStr">
        <is>
          <t>School timetabling only, with no CB-CTT relevance</t>
        </is>
      </c>
    </row>
    <row r="12">
      <c r="A12" s="22" t="inlineStr">
        <is>
          <t>EXCLUDE</t>
        </is>
      </c>
      <c r="B12" s="22" t="inlineStr">
        <is>
          <t>E4</t>
        </is>
      </c>
      <c r="C12" s="22" t="inlineStr">
        <is>
          <t>No method, evaluation, benchmark, or information relevant to an RQ</t>
        </is>
      </c>
    </row>
    <row r="13">
      <c r="A13" s="22" t="inlineStr">
        <is>
          <t>EXCLUDE</t>
        </is>
      </c>
      <c r="B13" s="22" t="inlineStr">
        <is>
          <t>E5</t>
        </is>
      </c>
      <c r="C13" s="22" t="inlineStr">
        <is>
          <t>Duplicate record</t>
        </is>
      </c>
    </row>
    <row r="14">
      <c r="A14" s="22" t="inlineStr">
        <is>
          <t>EXCLUDE</t>
        </is>
      </c>
      <c r="B14" s="22" t="inlineStr">
        <is>
          <t>E6</t>
        </is>
      </c>
      <c r="C14" s="22" t="inlineStr">
        <is>
          <t>Abstract/presentation/non-scholarly item with insufficient scientific detail</t>
        </is>
      </c>
    </row>
    <row r="15">
      <c r="A15" s="22" t="inlineStr">
        <is>
          <t>EXCLUDE</t>
        </is>
      </c>
      <c r="B15" s="22" t="inlineStr">
        <is>
          <t>E7</t>
        </is>
      </c>
      <c r="C15" s="22" t="inlineStr">
        <is>
          <t>Pre-2015 and not foundational/context</t>
        </is>
      </c>
    </row>
    <row r="16">
      <c r="A16" s="22" t="inlineStr">
        <is>
          <t>EXCLUDE</t>
        </is>
      </c>
      <c r="B16" s="22" t="inlineStr">
        <is>
          <t>E8</t>
        </is>
      </c>
      <c r="C16" s="22" t="inlineStr">
        <is>
          <t>Insufficient information to classify the study</t>
        </is>
      </c>
    </row>
    <row r="17">
      <c r="A17" s="23" t="inlineStr">
        <is>
          <t>SCOPE</t>
        </is>
      </c>
      <c r="B17" s="23" t="inlineStr">
        <is>
          <t>CORE_CB-CTT</t>
        </is>
      </c>
      <c r="C17" s="23" t="inlineStr">
        <is>
          <t>Standard CB-CTT evidence suitable for direct synthesis of methods and benchmarks.</t>
        </is>
      </c>
    </row>
    <row r="18">
      <c r="A18" s="23" t="inlineStr">
        <is>
          <t>SCOPE</t>
        </is>
      </c>
      <c r="B18" s="23" t="inlineStr">
        <is>
          <t>CB-CTT_EXTENSION</t>
        </is>
      </c>
      <c r="C18" s="23" t="inlineStr">
        <is>
          <t>Direct CB-CTT extension; analyze separately from standard objective comparisons.</t>
        </is>
      </c>
    </row>
    <row r="19">
      <c r="A19" s="23" t="inlineStr">
        <is>
          <t>SCOPE</t>
        </is>
      </c>
      <c r="B19" s="23" t="inlineStr">
        <is>
          <t>UCTP_UCSP_EXTENSION</t>
        </is>
      </c>
      <c r="C19" s="23" t="inlineStr">
        <is>
          <t>Broader university course timetabling/scheduling evidence relevant to method evolution but not directly comparable to standard CB-CTT benchmarks.</t>
        </is>
      </c>
    </row>
    <row r="20">
      <c r="A20" s="23" t="inlineStr">
        <is>
          <t>SCOPE</t>
        </is>
      </c>
      <c r="B20" s="23" t="inlineStr">
        <is>
          <t>FOUNDATIONAL_CONTEXT</t>
        </is>
      </c>
      <c r="C20" s="23" t="inlineStr">
        <is>
          <t>Pre-2015 methodological reference retained only to explain historical lineage.</t>
        </is>
      </c>
    </row>
    <row r="21">
      <c r="A21" s="23" t="inlineStr">
        <is>
          <t>SCOPE</t>
        </is>
      </c>
      <c r="B21" s="23" t="inlineStr">
        <is>
          <t>CONTEXT_TREND</t>
        </is>
      </c>
      <c r="C21" s="23" t="inlineStr">
        <is>
          <t>Recent related trend retained for discussion but not as core CB-CTT experimental evidence.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2" customWidth="1" min="2" max="2"/>
    <col width="47" customWidth="1" min="3" max="3"/>
    <col width="48" customWidth="1" min="4" max="4"/>
  </cols>
  <sheetData>
    <row r="1" ht="26" customHeight="1">
      <c r="A1" s="24" t="inlineStr">
        <is>
          <t>Screening summary</t>
        </is>
      </c>
    </row>
    <row r="2" ht="32" customHeight="1">
      <c r="A2" s="25" t="inlineStr">
        <is>
          <t>Metric</t>
        </is>
      </c>
      <c r="B2" s="25" t="inlineStr">
        <is>
          <t>Value</t>
        </is>
      </c>
      <c r="C2" s="25" t="inlineStr">
        <is>
          <t>Interpretation</t>
        </is>
      </c>
      <c r="D2" s="25" t="inlineStr">
        <is>
          <t>Notes</t>
        </is>
      </c>
    </row>
    <row r="3" ht="32" customHeight="1">
      <c r="A3" s="26" t="inlineStr">
        <is>
          <t>Total records</t>
        </is>
      </c>
      <c r="B3" s="27">
        <f>COUNTA(Master_Matrix!A2:A41)</f>
        <v/>
      </c>
      <c r="C3" s="27" t="inlineStr">
        <is>
          <t>Candidate records screened</t>
        </is>
      </c>
      <c r="D3" s="27" t="inlineStr">
        <is>
          <t>26 records from v2 + 8 ACO/ABC/HS/DE + 6 final directed-search records = 40 total</t>
        </is>
      </c>
    </row>
    <row r="4" ht="32" customHeight="1">
      <c r="A4" s="26" t="inlineStr">
        <is>
          <t>Records within 2015-2026</t>
        </is>
      </c>
      <c r="B4" s="27">
        <f>COUNTIFS(Master_Matrix!B2:B41,"&gt;=2015",Master_Matrix!B2:B41,"&lt;=2026")</f>
        <v/>
      </c>
      <c r="C4" s="27" t="inlineStr">
        <is>
          <t>Main temporal review window</t>
        </is>
      </c>
      <c r="D4" s="27" t="inlineStr">
        <is>
          <t>Main window 2015–2026; pre-2015 method-lineage papers remain context only</t>
        </is>
      </c>
    </row>
    <row r="5" ht="32" customHeight="1">
      <c r="A5" s="26" t="inlineStr">
        <is>
          <t>Core/extension includes</t>
        </is>
      </c>
      <c r="B5" s="27">
        <f>COUNTIF(Master_Matrix!T2:T41,"INCLUDE*")</f>
        <v/>
      </c>
      <c r="C5" s="27" t="inlineStr">
        <is>
          <t>All include statuses</t>
        </is>
      </c>
      <c r="D5" s="27" t="inlineStr">
        <is>
          <t>Extensions are not pooled with core objective values</t>
        </is>
      </c>
    </row>
    <row r="6" ht="32" customHeight="1">
      <c r="A6" s="26" t="inlineStr">
        <is>
          <t>Context records</t>
        </is>
      </c>
      <c r="B6" s="27">
        <f>COUNTIF(Master_Matrix!T2:T41,"CONTEXT*")</f>
        <v/>
      </c>
      <c r="C6" s="27" t="inlineStr">
        <is>
          <t>Secondary/foundational/trend context</t>
        </is>
      </c>
      <c r="D6" s="27" t="inlineStr">
        <is>
          <t>Not primary CB-CTT experimental evidence</t>
        </is>
      </c>
    </row>
    <row r="7" ht="32" customHeight="1">
      <c r="A7" s="26" t="inlineStr">
        <is>
          <t>PSO-related records</t>
        </is>
      </c>
      <c r="B7" s="27">
        <f>COUNTIF(Master_Matrix!J2:J41,"*PSO*")</f>
        <v/>
      </c>
      <c r="C7" s="27" t="inlineStr">
        <is>
          <t>Explicit PSO lineage/trend records</t>
        </is>
      </c>
      <c r="D7" s="27" t="inlineStr">
        <is>
          <t>2011, 2013, 2019, 2021, 2026</t>
        </is>
      </c>
    </row>
    <row r="8" ht="32" customHeight="1">
      <c r="A8" s="26" t="inlineStr">
        <is>
          <t>Core CB-CTT scope</t>
        </is>
      </c>
      <c r="B8" s="27">
        <f>COUNTIF(Master_Matrix!H2:H41,"CORE_CB-CTT")</f>
        <v/>
      </c>
      <c r="C8" s="27" t="inlineStr">
        <is>
          <t>Direct standard CB-CTT evidence</t>
        </is>
      </c>
      <c r="D8" s="27" t="inlineStr">
        <is>
          <t>Best suited to benchmark synthesis</t>
        </is>
      </c>
    </row>
    <row r="9" ht="32" customHeight="1">
      <c r="A9" s="26" t="inlineStr">
        <is>
          <t>CB-CTT extensions</t>
        </is>
      </c>
      <c r="B9" s="27">
        <f>COUNTIF(Master_Matrix!H2:H41,"CB-CTT_EXTENSION")</f>
        <v/>
      </c>
      <c r="C9" s="27" t="inlineStr">
        <is>
          <t>Direct CB-CTT variants/extensions</t>
        </is>
      </c>
      <c r="D9" s="27" t="inlineStr">
        <is>
          <t>Analyze separately</t>
        </is>
      </c>
    </row>
    <row r="10" ht="32" customHeight="1">
      <c r="A10" s="26" t="inlineStr">
        <is>
          <t>UCTP/UCSP extensions</t>
        </is>
      </c>
      <c r="B10" s="27">
        <f>COUNTIF(Master_Matrix!H2:H41,"*UCTP*")+COUNTIF(Master_Matrix!H2:H41,"*UCSP*")</f>
        <v/>
      </c>
      <c r="C10" s="27" t="inlineStr">
        <is>
          <t>Broader university timetabling/scheduling evidence</t>
        </is>
      </c>
      <c r="D10" s="27" t="inlineStr">
        <is>
          <t>Useful for method evolution</t>
        </is>
      </c>
    </row>
    <row r="11" ht="32" customHeight="1">
      <c r="A11" s="26" t="inlineStr">
        <is>
          <t>Experimental reproduction target</t>
        </is>
      </c>
      <c r="B11" s="27">
        <f>COUNTIF(Master_Matrix!T2:T41,"INCLUDE-EXPERIMENT")</f>
        <v/>
      </c>
      <c r="C11" s="27" t="inlineStr">
        <is>
          <t>Selected reproducibility paper</t>
        </is>
      </c>
      <c r="D11" s="27" t="inlineStr">
        <is>
          <t>Ceschia et al. 2026</t>
        </is>
      </c>
    </row>
    <row r="12" ht="32" customHeight="1">
      <c r="A12" s="26" t="n"/>
      <c r="B12" s="27" t="n"/>
      <c r="C12" s="27" t="n"/>
      <c r="D12" s="27" t="n"/>
    </row>
    <row r="13" ht="26" customHeight="1">
      <c r="A13" s="28" t="inlineStr">
        <is>
          <t>Refined method taxonomy</t>
        </is>
      </c>
    </row>
    <row r="14" ht="32" customHeight="1">
      <c r="A14" s="29" t="inlineStr">
        <is>
          <t>Exact / mathematical</t>
        </is>
      </c>
      <c r="B14" s="27" t="inlineStr">
        <is>
          <t>MIP, Benders, flow formulations, daily patterns, Dantzig-Wolfe</t>
        </is>
      </c>
      <c r="C14" s="27" t="n"/>
      <c r="D14" s="27" t="n"/>
    </row>
    <row r="15" ht="32" customHeight="1">
      <c r="A15" s="29" t="inlineStr">
        <is>
          <t>Declarative / constraint-based</t>
        </is>
      </c>
      <c r="B15" s="27" t="inlineStr">
        <is>
          <t>Answer Set Programming</t>
        </is>
      </c>
      <c r="C15" s="27" t="n"/>
      <c r="D15" s="27" t="n"/>
    </row>
    <row r="16" ht="32" customHeight="1">
      <c r="A16" s="29" t="inlineStr">
        <is>
          <t>Local-search metaheuristics</t>
        </is>
      </c>
      <c r="B16" s="27" t="inlineStr">
        <is>
          <t>Simulated Annealing, ALNS, multi-neighborhood local search</t>
        </is>
      </c>
      <c r="C16" s="27" t="n"/>
      <c r="D16" s="27" t="n"/>
    </row>
    <row r="17" ht="32" customHeight="1">
      <c r="A17" s="29" t="inlineStr">
        <is>
          <t>Evolutionary metaheuristics</t>
        </is>
      </c>
      <c r="B17" s="27" t="inlineStr">
        <is>
          <t>Genetic Algorithms and hybrids</t>
        </is>
      </c>
      <c r="C17" s="27" t="n"/>
      <c r="D17" s="27" t="n"/>
    </row>
    <row r="18" ht="32" customHeight="1">
      <c r="A18" s="29" t="inlineStr">
        <is>
          <t>Swarm intelligence</t>
        </is>
      </c>
      <c r="B18" s="27" t="inlineStr">
        <is>
          <t>PSO, ACO, ABC, Bacteria Swarm Optimization; keep benchmark scope explicit</t>
        </is>
      </c>
      <c r="C18" s="27" t="n"/>
      <c r="D18" s="27" t="inlineStr">
        <is>
          <t>PSO/ACO/ABC/BSO now explicitly represented</t>
        </is>
      </c>
    </row>
    <row r="19" ht="32" customHeight="1">
      <c r="A19" s="29" t="inlineStr">
        <is>
          <t>Music-inspired</t>
        </is>
      </c>
      <c r="B19" s="27" t="inlineStr">
        <is>
          <t>Harmony Search; hybrid HS + Great Deluge</t>
        </is>
      </c>
      <c r="C19" s="27" t="n"/>
      <c r="D19" s="27" t="n"/>
    </row>
    <row r="20" ht="32" customHeight="1">
      <c r="A20" s="29" t="inlineStr">
        <is>
          <t>Evolutionary metaheuristics</t>
        </is>
      </c>
      <c r="B20" s="27" t="inlineStr">
        <is>
          <t>Genetic Algorithms, Differential Evolution, GPU-GA; hybrid GA+ILS</t>
        </is>
      </c>
      <c r="C20" s="27" t="n"/>
      <c r="D20" s="27" t="n"/>
    </row>
    <row r="21" ht="32" customHeight="1">
      <c r="A21" s="29" t="inlineStr">
        <is>
          <t>Local-search / neighborhood methods</t>
        </is>
      </c>
      <c r="B21" s="27" t="inlineStr">
        <is>
          <t>SA, ALNS, multi-neighborhood, VND; VND+CP-SAT now represented</t>
        </is>
      </c>
      <c r="C21" s="27" t="n"/>
      <c r="D21" s="27" t="n"/>
    </row>
    <row r="22" ht="32" customHeight="1">
      <c r="A22" s="29" t="inlineStr">
        <is>
          <t>Hyper-heuristics</t>
        </is>
      </c>
      <c r="B22" s="27" t="inlineStr">
        <is>
          <t>Add/delete ILS hyper-heuristic; PSO selection HH; genetic+greedy HH</t>
        </is>
      </c>
      <c r="C22" s="27" t="n"/>
      <c r="D22" s="27" t="n"/>
    </row>
    <row r="23" ht="32" customHeight="1">
      <c r="A23" s="29" t="inlineStr">
        <is>
          <t>ML / adaptive / automatic configuration</t>
        </is>
      </c>
      <c r="B23" s="27" t="inlineStr">
        <is>
          <t>Algorithm selection, instance-space analysis, adaptive neighborhoods, irace configuration</t>
        </is>
      </c>
      <c r="C23" s="27" t="n"/>
      <c r="D23" s="27" t="n"/>
    </row>
    <row r="24" ht="32" customHeight="1">
      <c r="A24" s="29" t="inlineStr">
        <is>
          <t>Exact / mathematical / declarative</t>
        </is>
      </c>
      <c r="B24" s="27" t="inlineStr">
        <is>
          <t>MIP, Benders, flow, daily patterns, Dantzig-Wolfe, ASP, CP-SAT initialization</t>
        </is>
      </c>
      <c r="C24" s="27" t="n"/>
      <c r="D24" s="27" t="n"/>
    </row>
    <row r="25" ht="32" customHeight="1">
      <c r="A25" s="29" t="inlineStr">
        <is>
          <t>Real-world / broader UCTP extensions</t>
        </is>
      </c>
      <c r="B25" s="27" t="inlineStr">
        <is>
          <t>Student flow, robustness, sectioning, institutional UCSP, PE-CTT/Socha</t>
        </is>
      </c>
      <c r="C25" s="27" t="n"/>
      <c r="D25" s="27" t="n"/>
    </row>
    <row r="26" ht="32" customHeight="1">
      <c r="A26" s="30" t="inlineStr">
        <is>
          <t>Comparability rule</t>
        </is>
      </c>
      <c r="B26" s="31" t="inlineStr">
        <is>
          <t>Do not pool objective values across different problem variants/benchmarks; use extensions for RQ1/RQ3 trends only unless formulation equivalence is verified.</t>
        </is>
      </c>
      <c r="C26" s="31" t="n"/>
      <c r="D26" s="31" t="inlineStr">
        <is>
          <t>Preserves comparability for RQ1–RQ4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8" customWidth="1" min="3" max="3"/>
    <col width="48" customWidth="1" min="4" max="4"/>
    <col width="42" customWidth="1" min="5" max="5"/>
    <col width="28" customWidth="1" min="6" max="6"/>
    <col width="48" customWidth="1" min="7" max="7"/>
  </cols>
  <sheetData>
    <row r="1">
      <c r="A1" s="33" t="inlineStr">
        <is>
          <t>Family</t>
        </is>
      </c>
      <c r="B1" s="33" t="inlineStr">
        <is>
          <t>Search focus</t>
        </is>
      </c>
      <c r="C1" s="33" t="inlineStr">
        <is>
          <t>Core CB-CTT 2015-2026 findings</t>
        </is>
      </c>
      <c r="D1" s="33" t="inlineStr">
        <is>
          <t>Extension/context findings</t>
        </is>
      </c>
      <c r="E1" s="33" t="inlineStr">
        <is>
          <t>Gap assessment</t>
        </is>
      </c>
      <c r="F1" s="33" t="inlineStr">
        <is>
          <t>Matrix action</t>
        </is>
      </c>
      <c r="G1" s="33" t="inlineStr">
        <is>
          <t>Key source URL</t>
        </is>
      </c>
    </row>
    <row r="2" ht="65" customHeight="1">
      <c r="A2" s="27" t="inlineStr">
        <is>
          <t>Tabu Search</t>
        </is>
      </c>
      <c r="B2" s="27" t="inlineStr">
        <is>
          <t>CB-CTT / UCTP 2015–2026</t>
        </is>
      </c>
      <c r="C2" s="27" t="inlineStr">
        <is>
          <t>No new standalone core CB-CTT Tabu Search paper identified in the directed search.</t>
        </is>
      </c>
      <c r="D2" s="27" t="inlineStr">
        <is>
          <t>Recent TS hits are mainly PE-CTT or components inside hybrids; classic Adaptive Tabu Search is pre-2015.</t>
        </is>
      </c>
      <c r="E2" s="27" t="inlineStr">
        <is>
          <t>No core-window gap requiring forced inclusion. Keep TS in taxonomy as foundational/local-search context.</t>
        </is>
      </c>
      <c r="F2" s="27" t="inlineStr">
        <is>
          <t>No new primary row added solely for TS.</t>
        </is>
      </c>
      <c r="G2" s="34" t="inlineStr">
        <is>
          <t>https://doi.org/10.1016/j.ejor.2008.12.007</t>
        </is>
      </c>
    </row>
    <row r="3" ht="65" customHeight="1">
      <c r="A3" s="27" t="inlineStr">
        <is>
          <t>VNS / VND</t>
        </is>
      </c>
      <c r="B3" s="27" t="inlineStr">
        <is>
          <t>CB-CTT VNS, VND, variable neighborhood descent</t>
        </is>
      </c>
      <c r="C3" s="27" t="inlineStr">
        <is>
          <t>Nguyen (2026): Adaptive Penalty-Guided VND with CP-SAT on ITC-2007 Track 3.</t>
        </is>
      </c>
      <c r="D3" s="27" t="inlineStr">
        <is>
          <t>A 2016 VNS paper exists for a real institutional UCTP but is not standard CB-CTT.</t>
        </is>
      </c>
      <c r="E3" s="27" t="inlineStr">
        <is>
          <t>Clear recent core gap found and filled.</t>
        </is>
      </c>
      <c r="F3" s="27" t="inlineStr">
        <is>
          <t>Added P038 as INCLUDE.</t>
        </is>
      </c>
      <c r="G3" s="34" t="inlineStr">
        <is>
          <t>https://www.scitepress.org/PublishedPapers/2026/144377/</t>
        </is>
      </c>
    </row>
    <row r="4" ht="65" customHeight="1">
      <c r="A4" s="27" t="inlineStr">
        <is>
          <t>Genetic Algorithm</t>
        </is>
      </c>
      <c r="B4" s="27" t="inlineStr">
        <is>
          <t>CB-CTT GA 2015–2026</t>
        </is>
      </c>
      <c r="C4" s="27" t="inlineStr">
        <is>
          <t>Yousef et al. (2016) GPU-GA on ITC-2007 Track 3; Matias et al. (2018) guided/self-adaptive GA; Badoni et al. (2023) GA+ILS includes CB-CTT.</t>
        </is>
      </c>
      <c r="D4" s="27" t="inlineStr">
        <is>
          <t>Many additional GA case studies use institutional UCSP data and are not benchmark-comparable.</t>
        </is>
      </c>
      <c r="E4" s="27" t="inlineStr">
        <is>
          <t>Previous matrix underrepresented evolutionary methods despite P014; gap filled with direct core studies.</t>
        </is>
      </c>
      <c r="F4" s="27" t="inlineStr">
        <is>
          <t>Added P036, P037, P039.</t>
        </is>
      </c>
      <c r="G4" s="34" t="inlineStr">
        <is>
          <t>https://doi.org/10.1109/ICCES.2016.7821982</t>
        </is>
      </c>
    </row>
    <row r="5" ht="65" customHeight="1">
      <c r="A5" s="27" t="inlineStr">
        <is>
          <t>Hyper-Heuristics</t>
        </is>
      </c>
      <c r="B5" s="27" t="inlineStr">
        <is>
          <t>Hyper-heuristic course timetabling 2015–2026</t>
        </is>
      </c>
      <c r="C5" s="27" t="inlineStr">
        <is>
          <t>Soria-Alcaraz et al. (2016) ILS add/delete hyper-heuristic uses ITC-2007 Tracks 2 and 3.</t>
        </is>
      </c>
      <c r="D5" s="27" t="inlineStr">
        <is>
          <t>Zhu et al. (2026) genetic+greedy hyper-heuristic addresses broader UCSP; PSO-HH already P025.</t>
        </is>
      </c>
      <c r="E5" s="27" t="inlineStr">
        <is>
          <t>Core and trend coverage both improved.</t>
        </is>
      </c>
      <c r="F5" s="27" t="inlineStr">
        <is>
          <t>Added P035 (core/mixed) and P040 (extension).</t>
        </is>
      </c>
      <c r="G5" s="34" t="inlineStr">
        <is>
          <t>https://doi.org/10.1016/j.asoc.2015.11.043</t>
        </is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65" customWidth="1" min="3" max="3"/>
    <col width="60" customWidth="1" min="4" max="4"/>
  </cols>
  <sheetData>
    <row r="1">
      <c r="A1" s="35" t="inlineStr">
        <is>
          <t>Top-level family</t>
        </is>
      </c>
      <c r="B1" s="35" t="inlineStr">
        <is>
          <t>Subfamily</t>
        </is>
      </c>
      <c r="C1" s="35" t="inlineStr">
        <is>
          <t>Examples represented in matrix</t>
        </is>
      </c>
      <c r="D1" s="35" t="inlineStr">
        <is>
          <t>Comparability note</t>
        </is>
      </c>
    </row>
    <row r="2">
      <c r="A2" s="27" t="inlineStr">
        <is>
          <t>Local-search / neighborhood</t>
        </is>
      </c>
      <c r="B2" s="27" t="inlineStr">
        <is>
          <t>SA; ALNS; multi-neighborhood; VND</t>
        </is>
      </c>
      <c r="C2" s="27" t="inlineStr">
        <is>
          <t>Bellio 2016; Kiefer 2017; Song 2021; Ceschia 2026; Nguyen 2026</t>
        </is>
      </c>
      <c r="D2" s="27" t="inlineStr">
        <is>
          <t>Core comparisons valid when same CB-CTT formulation/time limits are used.</t>
        </is>
      </c>
    </row>
    <row r="3">
      <c r="A3" s="27" t="inlineStr">
        <is>
          <t>Evolutionary</t>
        </is>
      </c>
      <c r="B3" s="27" t="inlineStr">
        <is>
          <t>GA; DE</t>
        </is>
      </c>
      <c r="C3" s="27" t="inlineStr">
        <is>
          <t>Akkan &amp; Gülcü 2018; Yousef 2016; Matias 2018; Shaker 2012 (context)</t>
        </is>
      </c>
      <c r="D3" s="27" t="inlineStr">
        <is>
          <t>DE evidence is mainly non-core/pre-2015; GA has direct Track 3 evidence.</t>
        </is>
      </c>
    </row>
    <row r="4">
      <c r="A4" s="27" t="inlineStr">
        <is>
          <t>Swarm intelligence</t>
        </is>
      </c>
      <c r="B4" s="27" t="inlineStr">
        <is>
          <t>PSO; ACO; ABC; BSO</t>
        </is>
      </c>
      <c r="C4" s="27" t="inlineStr">
        <is>
          <t>Hossain 2019; Kenekayoro 2016; Bolaji 2011; Shaker 2015</t>
        </is>
      </c>
      <c r="D4" s="27" t="inlineStr">
        <is>
          <t>Only ACO/ABC entries using Track 3 are directly benchmark-aligned; PSO/BSO often broader UCTP.</t>
        </is>
      </c>
    </row>
    <row r="5">
      <c r="A5" s="27" t="inlineStr">
        <is>
          <t>Music-inspired</t>
        </is>
      </c>
      <c r="B5" s="27" t="inlineStr">
        <is>
          <t>Harmony Search</t>
        </is>
      </c>
      <c r="C5" s="27" t="inlineStr">
        <is>
          <t>Wahid &amp; Hussin 2013/2015</t>
        </is>
      </c>
      <c r="D5" s="27" t="inlineStr">
        <is>
          <t>2015 hybrid HS is core-window CB-CTT evidence.</t>
        </is>
      </c>
    </row>
    <row r="6">
      <c r="A6" s="27" t="inlineStr">
        <is>
          <t>Hyper-heuristics</t>
        </is>
      </c>
      <c r="B6" s="27" t="inlineStr">
        <is>
          <t>Selection/generation; genetic+greedy; PSO-HH</t>
        </is>
      </c>
      <c r="C6" s="27" t="inlineStr">
        <is>
          <t>Soria-Alcaraz 2016; Iqbal 2021; Zhu 2026</t>
        </is>
      </c>
      <c r="D6" s="27" t="inlineStr">
        <is>
          <t>Separate Track 3 evidence from broader UCSP/PE-CTT.</t>
        </is>
      </c>
    </row>
    <row r="7">
      <c r="A7" s="27" t="inlineStr">
        <is>
          <t>Hybrid / matheuristic</t>
        </is>
      </c>
      <c r="B7" s="27" t="inlineStr">
        <is>
          <t>MIP+heuristic; GA+ILS; GA+SA/HC; CP-SAT+VND</t>
        </is>
      </c>
      <c r="C7" s="27" t="inlineStr">
        <is>
          <t>Lindahl 2018; Akkan 2018; Badoni 2023; Nguyen 2026</t>
        </is>
      </c>
      <c r="D7" s="27" t="inlineStr">
        <is>
          <t>Record each component and benchmark before pooling results.</t>
        </is>
      </c>
    </row>
    <row r="8">
      <c r="A8" s="27" t="inlineStr">
        <is>
          <t>Exact / mathematical</t>
        </is>
      </c>
      <c r="B8" s="27" t="inlineStr">
        <is>
          <t>MIP; Benders; Dantzig-Wolfe; flow</t>
        </is>
      </c>
      <c r="C8" s="27" t="inlineStr">
        <is>
          <t>Bagger et al. 2018/2019</t>
        </is>
      </c>
      <c r="D8" s="27" t="inlineStr">
        <is>
          <t>Often reports lower bounds/optimality, not only heuristic objective values.</t>
        </is>
      </c>
    </row>
    <row r="9">
      <c r="A9" s="27" t="inlineStr">
        <is>
          <t>Declarative / constraint-based</t>
        </is>
      </c>
      <c r="B9" s="27" t="inlineStr">
        <is>
          <t>ASP; CP/CP-SAT</t>
        </is>
      </c>
      <c r="C9" s="27" t="inlineStr">
        <is>
          <t>Banbara et al. 2019; Nguyen 2026 initialization</t>
        </is>
      </c>
      <c r="D9" s="27" t="inlineStr">
        <is>
          <t>CP-SAT may be only one stage of a hybrid solver.</t>
        </is>
      </c>
    </row>
    <row r="10">
      <c r="A10" s="27" t="inlineStr">
        <is>
          <t>ML / adaptive / configuration</t>
        </is>
      </c>
      <c r="B10" s="27" t="inlineStr">
        <is>
          <t>Algorithm selection; instance-space; irace; RL-guided</t>
        </is>
      </c>
      <c r="C10" s="27" t="inlineStr">
        <is>
          <t>de la Rosa-Rivera 2021; De Coster 2022; Feutrier 2023/2025; Chen 2026</t>
        </is>
      </c>
      <c r="D10" s="27" t="inlineStr">
        <is>
          <t>Distinguish ML-assisted optimization from direct timetable construction.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62" customWidth="1" min="4" max="4"/>
    <col width="28" customWidth="1" min="5" max="5"/>
    <col width="27" customWidth="1" min="6" max="6"/>
    <col width="22" customWidth="1" min="7" max="7"/>
    <col width="28" customWidth="1" min="8" max="8"/>
    <col width="28" customWidth="1" min="9" max="9"/>
    <col width="50" customWidth="1" min="10" max="10"/>
    <col width="34" customWidth="1" min="11" max="11"/>
    <col width="20" customWidth="1" min="12" max="12"/>
    <col width="20" customWidth="1" min="13" max="13"/>
    <col width="50" customWidth="1" min="14" max="14"/>
  </cols>
  <sheetData>
    <row r="1">
      <c r="A1" s="36" t="inlineStr">
        <is>
          <t>Paper_ID</t>
        </is>
      </c>
      <c r="B1" s="36" t="inlineStr">
        <is>
          <t>Year</t>
        </is>
      </c>
      <c r="C1" s="36" t="inlineStr">
        <is>
          <t>Authors</t>
        </is>
      </c>
      <c r="D1" s="36" t="inlineStr">
        <is>
          <t>Title</t>
        </is>
      </c>
      <c r="E1" s="36" t="inlineStr">
        <is>
          <t>Venue</t>
        </is>
      </c>
      <c r="F1" s="36" t="inlineStr">
        <is>
          <t>DOI</t>
        </is>
      </c>
      <c r="G1" s="36" t="inlineStr">
        <is>
          <t>Corpus_Tier</t>
        </is>
      </c>
      <c r="H1" s="36" t="inlineStr">
        <is>
          <t>Method_Family</t>
        </is>
      </c>
      <c r="I1" s="36" t="inlineStr">
        <is>
          <t>Method_Subfamily</t>
        </is>
      </c>
      <c r="J1" s="36" t="inlineStr">
        <is>
          <t>Specific_Method</t>
        </is>
      </c>
      <c r="K1" s="36" t="inlineStr">
        <is>
          <t>Benchmark_or_Data</t>
        </is>
      </c>
      <c r="L1" s="36" t="inlineStr">
        <is>
          <t>RQ_Coverage</t>
        </is>
      </c>
      <c r="M1" s="36" t="inlineStr">
        <is>
          <t>Final_Screening_Status</t>
        </is>
      </c>
      <c r="N1" s="36" t="inlineStr">
        <is>
          <t>Source_URL</t>
        </is>
      </c>
    </row>
    <row r="2">
      <c r="A2" s="27" t="inlineStr">
        <is>
          <t>P002</t>
        </is>
      </c>
      <c r="B2" s="27" t="n">
        <v>2016</v>
      </c>
      <c r="C2" s="27" t="inlineStr">
        <is>
          <t>Bellio; Ceschia; Di Gaspero; Schaerf; Urli</t>
        </is>
      </c>
      <c r="D2" s="27" t="inlineStr">
        <is>
          <t>Feature-based tuning of simulated annealing applied to the curriculum-based course timetabling problem</t>
        </is>
      </c>
      <c r="E2" s="27" t="inlineStr">
        <is>
          <t>Computers &amp; Operations Research</t>
        </is>
      </c>
      <c r="F2" s="27" t="inlineStr">
        <is>
          <t>10.1016/j.cor.2015.07.002</t>
        </is>
      </c>
      <c r="G2" s="27" t="inlineStr">
        <is>
          <t>CORE_CB-CTT</t>
        </is>
      </c>
      <c r="H2" s="27" t="inlineStr">
        <is>
          <t>Metaheuristic / adaptive tuning</t>
        </is>
      </c>
      <c r="I2" s="27" t="inlineStr">
        <is>
          <t>Local search — Simulated Annealing + feature-based tuning</t>
        </is>
      </c>
      <c r="J2" s="27" t="inlineStr">
        <is>
          <t>Simulated Annealing + feature-based parameter tuning</t>
        </is>
      </c>
      <c r="K2" s="27" t="inlineStr">
        <is>
          <t>Multiple established CB-CTT benchmarks + new real-world instances</t>
        </is>
      </c>
      <c r="L2" s="27" t="inlineStr">
        <is>
          <t>RQ1; RQ2; RQ3</t>
        </is>
      </c>
      <c r="M2" s="27" t="inlineStr">
        <is>
          <t>INCLUDED_PRIMARY</t>
        </is>
      </c>
      <c r="N2" s="27" t="inlineStr">
        <is>
          <t>https://www.sciencedirect.com/science/article/pii/S0305054815001690</t>
        </is>
      </c>
    </row>
    <row r="3">
      <c r="A3" s="27" t="inlineStr">
        <is>
          <t>P011</t>
        </is>
      </c>
      <c r="B3" s="27" t="n">
        <v>2017</v>
      </c>
      <c r="C3" s="27" t="inlineStr">
        <is>
          <t>Kiefer; Hartl; Schnell</t>
        </is>
      </c>
      <c r="D3" s="27" t="inlineStr">
        <is>
          <t>Adaptive large neighborhood search for the curriculum-based course timetabling problem</t>
        </is>
      </c>
      <c r="E3" s="27" t="inlineStr">
        <is>
          <t>Annals of Operations Research</t>
        </is>
      </c>
      <c r="F3" s="27" t="inlineStr">
        <is>
          <t>10.1007/s10479-016-2151-2</t>
        </is>
      </c>
      <c r="G3" s="27" t="inlineStr">
        <is>
          <t>CORE_CB-CTT</t>
        </is>
      </c>
      <c r="H3" s="27" t="inlineStr">
        <is>
          <t>Metaheuristic / adaptive search</t>
        </is>
      </c>
      <c r="I3" s="27" t="inlineStr">
        <is>
          <t>Local search — adaptive large neighborhood search</t>
        </is>
      </c>
      <c r="J3" s="27" t="inlineStr">
        <is>
          <t>Adaptive Large Neighborhood Search (ALNS)</t>
        </is>
      </c>
      <c r="K3" s="27" t="inlineStr">
        <is>
          <t>ITC-2007 benchmark instances</t>
        </is>
      </c>
      <c r="L3" s="27" t="inlineStr">
        <is>
          <t>RQ1; RQ3</t>
        </is>
      </c>
      <c r="M3" s="27" t="inlineStr">
        <is>
          <t>INCLUDED_PRIMARY</t>
        </is>
      </c>
      <c r="N3" s="27" t="inlineStr">
        <is>
          <t>https://ideas.repec.org/a/spr/annopr/v252y2017i2d10.1007_s10479-016-2151-2.html</t>
        </is>
      </c>
    </row>
    <row r="4">
      <c r="A4" s="27" t="inlineStr">
        <is>
          <t>P012</t>
        </is>
      </c>
      <c r="B4" s="27" t="n">
        <v>2018</v>
      </c>
      <c r="C4" s="27" t="inlineStr">
        <is>
          <t>Bagger; Sørensen; Stidsen</t>
        </is>
      </c>
      <c r="D4" s="27" t="inlineStr">
        <is>
          <t>Benders’ decomposition for curriculum-based course timetabling</t>
        </is>
      </c>
      <c r="E4" s="27" t="inlineStr">
        <is>
          <t>Computers &amp; Operations Research</t>
        </is>
      </c>
      <c r="F4" s="27" t="inlineStr">
        <is>
          <t>10.1016/j.cor.2017.10.009</t>
        </is>
      </c>
      <c r="G4" s="27" t="inlineStr">
        <is>
          <t>CORE_CB-CTT</t>
        </is>
      </c>
      <c r="H4" s="27" t="inlineStr">
        <is>
          <t>Exact / decomposition</t>
        </is>
      </c>
      <c r="I4" s="27" t="inlineStr">
        <is>
          <t>Exact — Benders decomposition</t>
        </is>
      </c>
      <c r="J4" s="27" t="inlineStr">
        <is>
          <t>Benders decomposition + feasibility recovery heuristic</t>
        </is>
      </c>
      <c r="K4" s="27" t="inlineStr">
        <is>
          <t>CB-CTT benchmark datasets, including larger instances</t>
        </is>
      </c>
      <c r="L4" s="27" t="inlineStr">
        <is>
          <t>RQ1; RQ2</t>
        </is>
      </c>
      <c r="M4" s="27" t="inlineStr">
        <is>
          <t>INCLUDED_PRIMARY</t>
        </is>
      </c>
      <c r="N4" s="27" t="inlineStr">
        <is>
          <t>https://www.sciencedirect.com/science/article/abs/pii/S0305054817302733</t>
        </is>
      </c>
    </row>
    <row r="5">
      <c r="A5" s="27" t="inlineStr">
        <is>
          <t>P013</t>
        </is>
      </c>
      <c r="B5" s="27" t="n">
        <v>2018</v>
      </c>
      <c r="C5" s="27" t="inlineStr">
        <is>
          <t>Lindahl; Sørensen; Stidsen</t>
        </is>
      </c>
      <c r="D5" s="27" t="inlineStr">
        <is>
          <t>A fix-and-optimize matheuristic for university timetabling</t>
        </is>
      </c>
      <c r="E5" s="27" t="inlineStr">
        <is>
          <t>Journal of Heuristics</t>
        </is>
      </c>
      <c r="F5" s="27" t="inlineStr">
        <is>
          <t>10.1007/s10732-018-9371-3</t>
        </is>
      </c>
      <c r="G5" s="27" t="inlineStr">
        <is>
          <t>CORE_CB-CTT</t>
        </is>
      </c>
      <c r="H5" s="27" t="inlineStr">
        <is>
          <t>Matheuristic</t>
        </is>
      </c>
      <c r="I5" s="27" t="inlineStr">
        <is>
          <t>Matheuristic — MIP fix-and-optimize</t>
        </is>
      </c>
      <c r="J5" s="27" t="inlineStr">
        <is>
          <t>MIP-guided fix-and-optimize</t>
        </is>
      </c>
      <c r="K5" s="27" t="inlineStr">
        <is>
          <t>University course timetabling benchmarks</t>
        </is>
      </c>
      <c r="L5" s="27" t="inlineStr">
        <is>
          <t>RQ1; RQ3</t>
        </is>
      </c>
      <c r="M5" s="27" t="inlineStr">
        <is>
          <t>INCLUDED_PRIMARY</t>
        </is>
      </c>
      <c r="N5" s="27" t="inlineStr">
        <is>
          <t>https://ideas.repec.org/a/spr/joheur/v24y2018i4d10.1007_s10732-018-9371-3.html</t>
        </is>
      </c>
    </row>
    <row r="6">
      <c r="A6" s="27" t="inlineStr">
        <is>
          <t>P014</t>
        </is>
      </c>
      <c r="B6" s="27" t="n">
        <v>2018</v>
      </c>
      <c r="C6" s="27" t="inlineStr">
        <is>
          <t>Akkan; Gülcü</t>
        </is>
      </c>
      <c r="D6" s="27" t="inlineStr">
        <is>
          <t>A bi-criteria hybrid Genetic Algorithm with robustness objective for the course timetabling problem</t>
        </is>
      </c>
      <c r="E6" s="27" t="inlineStr">
        <is>
          <t>Computers &amp; Operations Research</t>
        </is>
      </c>
      <c r="F6" s="27" t="inlineStr">
        <is>
          <t>10.1016/j.cor.2017.09.007</t>
        </is>
      </c>
      <c r="G6" s="27" t="inlineStr">
        <is>
          <t>CB-CTT_EXTENSION</t>
        </is>
      </c>
      <c r="H6" s="27" t="inlineStr">
        <is>
          <t>Hybrid metaheuristic / robustness</t>
        </is>
      </c>
      <c r="I6" s="27" t="inlineStr">
        <is>
          <t>Evolutionary / hybrid — GA + HC + SA</t>
        </is>
      </c>
      <c r="J6" s="27" t="inlineStr">
        <is>
          <t>Multi-objective GA + Hill Climbing + Simulated Annealing</t>
        </is>
      </c>
      <c r="K6" s="27" t="inlineStr">
        <is>
          <t>ITC-2007 CB-CTT</t>
        </is>
      </c>
      <c r="L6" s="27" t="inlineStr">
        <is>
          <t>RQ1; RQ2; RQ3</t>
        </is>
      </c>
      <c r="M6" s="27" t="inlineStr">
        <is>
          <t>INCLUDED_PRIMARY</t>
        </is>
      </c>
      <c r="N6" s="27" t="inlineStr">
        <is>
          <t>https://www.sciencedirect.com/science/article/pii/S0305054817302307</t>
        </is>
      </c>
    </row>
    <row r="7">
      <c r="A7" s="27" t="inlineStr">
        <is>
          <t>P003</t>
        </is>
      </c>
      <c r="B7" s="27" t="n">
        <v>2019</v>
      </c>
      <c r="C7" s="27" t="inlineStr">
        <is>
          <t>Banbara; Inoue; Kaufmann; Okimoto; Schaub; Soh; Tamura; Wanko</t>
        </is>
      </c>
      <c r="D7" s="27" t="inlineStr">
        <is>
          <t>Teaspoon: Solving the curriculum-based course timetabling problems with answer set programming</t>
        </is>
      </c>
      <c r="E7" s="27" t="inlineStr">
        <is>
          <t>Annals of Operations Research</t>
        </is>
      </c>
      <c r="F7" s="27" t="inlineStr">
        <is>
          <t>10.1007/s10479-018-2757-7</t>
        </is>
      </c>
      <c r="G7" s="27" t="inlineStr">
        <is>
          <t>CORE_CB-CTT</t>
        </is>
      </c>
      <c r="H7" s="27" t="inlineStr">
        <is>
          <t>Declarative / constraint-based</t>
        </is>
      </c>
      <c r="I7" s="27" t="inlineStr">
        <is>
          <t>Declarative / constraint-based — ASP</t>
        </is>
      </c>
      <c r="J7" s="27" t="inlineStr">
        <is>
          <t>Answer Set Programming (ASP)</t>
        </is>
      </c>
      <c r="K7" s="27" t="inlineStr">
        <is>
          <t>CB-CTT benchmark instances</t>
        </is>
      </c>
      <c r="L7" s="27" t="inlineStr">
        <is>
          <t>RQ1; RQ2</t>
        </is>
      </c>
      <c r="M7" s="27" t="inlineStr">
        <is>
          <t>INCLUDED_PRIMARY</t>
        </is>
      </c>
      <c r="N7" s="27" t="inlineStr">
        <is>
          <t>https://doi.org/10.1007/s10479-018-2757-7</t>
        </is>
      </c>
    </row>
    <row r="8">
      <c r="A8" s="27" t="inlineStr">
        <is>
          <t>P015</t>
        </is>
      </c>
      <c r="B8" s="27" t="n">
        <v>2019</v>
      </c>
      <c r="C8" s="27" t="inlineStr">
        <is>
          <t>Bagger; Desaulniers; Desrosiers</t>
        </is>
      </c>
      <c r="D8" s="27" t="inlineStr">
        <is>
          <t>Daily course pattern formulation and valid inequalities for the curriculum-based course timetabling problem</t>
        </is>
      </c>
      <c r="E8" s="27" t="inlineStr">
        <is>
          <t>Journal of Scheduling</t>
        </is>
      </c>
      <c r="F8" s="27" t="inlineStr">
        <is>
          <t>10.1007/s10951-018-0582-0</t>
        </is>
      </c>
      <c r="G8" s="27" t="inlineStr">
        <is>
          <t>CORE_CB-CTT</t>
        </is>
      </c>
      <c r="H8" s="27" t="inlineStr">
        <is>
          <t>Exact / integer programming</t>
        </is>
      </c>
      <c r="I8" s="27" t="inlineStr">
        <is>
          <t>Exact — integer programming / daily patterns</t>
        </is>
      </c>
      <c r="J8" s="27" t="inlineStr">
        <is>
          <t>Daily course pattern formulation + preprocessing + valid inequalities</t>
        </is>
      </c>
      <c r="K8" s="27" t="inlineStr">
        <is>
          <t>ITC-2007 real-world benchmark</t>
        </is>
      </c>
      <c r="L8" s="27" t="inlineStr">
        <is>
          <t>RQ1; RQ2</t>
        </is>
      </c>
      <c r="M8" s="27" t="inlineStr">
        <is>
          <t>INCLUDED_PRIMARY</t>
        </is>
      </c>
      <c r="N8" s="27" t="inlineStr">
        <is>
          <t>https://ideas.repec.org/a/spr/jsched/v22y2019i2d10.1007_s10951-018-0582-0.html</t>
        </is>
      </c>
    </row>
    <row r="9">
      <c r="A9" s="27" t="inlineStr">
        <is>
          <t>P016</t>
        </is>
      </c>
      <c r="B9" s="27" t="n">
        <v>2019</v>
      </c>
      <c r="C9" s="27" t="inlineStr">
        <is>
          <t>Bagger; Sørensen; Stidsen</t>
        </is>
      </c>
      <c r="D9" s="27" t="inlineStr">
        <is>
          <t>Dantzig–Wolfe decomposition of the daily course pattern formulation for curriculum-based course timetabling</t>
        </is>
      </c>
      <c r="E9" s="27" t="inlineStr">
        <is>
          <t>European Journal of Operational Research</t>
        </is>
      </c>
      <c r="F9" s="27" t="inlineStr">
        <is>
          <t>10.1016/j.ejor.2018.06.042</t>
        </is>
      </c>
      <c r="G9" s="27" t="inlineStr">
        <is>
          <t>CORE_CB-CTT</t>
        </is>
      </c>
      <c r="H9" s="27" t="inlineStr">
        <is>
          <t>Exact / decomposition</t>
        </is>
      </c>
      <c r="I9" s="27" t="inlineStr">
        <is>
          <t>Exact — Dantzig-Wolfe / column generation</t>
        </is>
      </c>
      <c r="J9" s="27" t="inlineStr">
        <is>
          <t>Dantzig–Wolfe reformulation + Column Generation + Local Branching</t>
        </is>
      </c>
      <c r="K9" s="27" t="inlineStr">
        <is>
          <t>CB-CTT real-world benchmark</t>
        </is>
      </c>
      <c r="L9" s="27" t="inlineStr">
        <is>
          <t>RQ1; RQ2</t>
        </is>
      </c>
      <c r="M9" s="27" t="inlineStr">
        <is>
          <t>INCLUDED_PRIMARY</t>
        </is>
      </c>
      <c r="N9" s="27" t="inlineStr">
        <is>
          <t>https://www.sciencedirect.com/science/article/pii/S0377221718305794</t>
        </is>
      </c>
    </row>
    <row r="10">
      <c r="A10" s="27" t="inlineStr">
        <is>
          <t>P017</t>
        </is>
      </c>
      <c r="B10" s="27" t="n">
        <v>2019</v>
      </c>
      <c r="C10" s="27" t="inlineStr">
        <is>
          <t>Bagger; Kristiansen; Sørensen; Stidsen</t>
        </is>
      </c>
      <c r="D10" s="27" t="inlineStr">
        <is>
          <t>Flow formulations for curriculum-based course timetabling</t>
        </is>
      </c>
      <c r="E10" s="27" t="inlineStr">
        <is>
          <t>Annals of Operations Research</t>
        </is>
      </c>
      <c r="F10" s="27" t="inlineStr">
        <is>
          <t>10.1007/s10479-018-3096-4</t>
        </is>
      </c>
      <c r="G10" s="27" t="inlineStr">
        <is>
          <t>CORE_CB-CTT</t>
        </is>
      </c>
      <c r="H10" s="27" t="inlineStr">
        <is>
          <t>Exact / MIP</t>
        </is>
      </c>
      <c r="I10" s="27" t="inlineStr">
        <is>
          <t>Exact — network-flow MIP</t>
        </is>
      </c>
      <c r="J10" s="27" t="inlineStr">
        <is>
          <t>Minimum-cost flow + multi-commodity flow formulations</t>
        </is>
      </c>
      <c r="K10" s="27" t="inlineStr">
        <is>
          <t>ITC-2007 benchmark</t>
        </is>
      </c>
      <c r="L10" s="27" t="inlineStr">
        <is>
          <t>RQ1; RQ2</t>
        </is>
      </c>
      <c r="M10" s="27" t="inlineStr">
        <is>
          <t>INCLUDED_PRIMARY</t>
        </is>
      </c>
      <c r="N10" s="27" t="inlineStr">
        <is>
          <t>https://ideas.repec.org/a/spr/annopr/v280y2019i1d10.1007_s10479-018-3096-4.html</t>
        </is>
      </c>
    </row>
    <row r="11">
      <c r="A11" s="27" t="inlineStr">
        <is>
          <t>P004</t>
        </is>
      </c>
      <c r="B11" s="27" t="n">
        <v>2020</v>
      </c>
      <c r="C11" s="27" t="inlineStr">
        <is>
          <t>Caramia; Giordani</t>
        </is>
      </c>
      <c r="D11" s="27" t="inlineStr">
        <is>
          <t>Curriculum-Based Course Timetabling with Student Flow, Soft Constraints, and Smoothing Objectives: an Application to a Real Case Study</t>
        </is>
      </c>
      <c r="E11" s="27" t="inlineStr">
        <is>
          <t>SN Operations Research Forum</t>
        </is>
      </c>
      <c r="F11" s="27" t="inlineStr">
        <is>
          <t>10.1007/s43069-020-0013-x</t>
        </is>
      </c>
      <c r="G11" s="27" t="inlineStr">
        <is>
          <t>CB-CTT_EXTENSION</t>
        </is>
      </c>
      <c r="H11" s="27" t="inlineStr">
        <is>
          <t>Mathematical programming / multi-objective</t>
        </is>
      </c>
      <c r="I11" s="27" t="inlineStr">
        <is>
          <t>Exact / multi-objective — MIP</t>
        </is>
      </c>
      <c r="J11" s="27" t="inlineStr">
        <is>
          <t>Multi-objective mixed-integer model</t>
        </is>
      </c>
      <c r="K11" s="27" t="inlineStr">
        <is>
          <t>University of Rome Tor Vergata real case</t>
        </is>
      </c>
      <c r="L11" s="27" t="inlineStr">
        <is>
          <t>RQ1; RQ2</t>
        </is>
      </c>
      <c r="M11" s="27" t="inlineStr">
        <is>
          <t>INCLUDED_PRIMARY</t>
        </is>
      </c>
      <c r="N11" s="27" t="inlineStr">
        <is>
          <t>https://ideas.repec.org/a/spr/snopef/v1y2020i2d10.1007_s43069-020-0013-x.html</t>
        </is>
      </c>
    </row>
    <row r="12">
      <c r="A12" s="27" t="inlineStr">
        <is>
          <t>P005</t>
        </is>
      </c>
      <c r="B12" s="27" t="n">
        <v>2021</v>
      </c>
      <c r="C12" s="27" t="inlineStr">
        <is>
          <t>de la Rosa-Rivera; Nunez-Varela; Ortiz-Bayliss; Terashima-Marín</t>
        </is>
      </c>
      <c r="D12" s="27" t="inlineStr">
        <is>
          <t>Algorithm selection for solving educational timetabling problems</t>
        </is>
      </c>
      <c r="E12" s="27" t="inlineStr">
        <is>
          <t>Expert Systems with Applications</t>
        </is>
      </c>
      <c r="F12" s="27" t="inlineStr">
        <is>
          <t>10.1016/j.eswa.2021.114694</t>
        </is>
      </c>
      <c r="G12" s="27" t="inlineStr">
        <is>
          <t>CORE_CB-CTT</t>
        </is>
      </c>
      <c r="H12" s="27" t="inlineStr">
        <is>
          <t>ML-assisted optimization</t>
        </is>
      </c>
      <c r="I12" s="27" t="inlineStr">
        <is>
          <t>ML-assisted — per-instance algorithm selection</t>
        </is>
      </c>
      <c r="J12" s="27" t="inlineStr">
        <is>
          <t>Per-instance algorithm selection; classifier + regression over four metaheuristics</t>
        </is>
      </c>
      <c r="K12" s="27" t="inlineStr">
        <is>
          <t>CB-CTT instances / problem sub-spaces</t>
        </is>
      </c>
      <c r="L12" s="27" t="inlineStr">
        <is>
          <t>RQ3</t>
        </is>
      </c>
      <c r="M12" s="27" t="inlineStr">
        <is>
          <t>INCLUDED_PRIMARY</t>
        </is>
      </c>
      <c r="N12" s="27" t="inlineStr">
        <is>
          <t>https://www.sciencedirect.com/science/article/pii/S0957417421001354</t>
        </is>
      </c>
    </row>
    <row r="13">
      <c r="A13" s="27" t="inlineStr">
        <is>
          <t>P018</t>
        </is>
      </c>
      <c r="B13" s="27" t="n">
        <v>2021</v>
      </c>
      <c r="C13" s="27" t="inlineStr">
        <is>
          <t>Song; Chen; Xu; Wang; Song; Tang</t>
        </is>
      </c>
      <c r="D13" s="27" t="inlineStr">
        <is>
          <t>Competition-guided multi-neighborhood local search algorithm for the university course timetabling problem</t>
        </is>
      </c>
      <c r="E13" s="27" t="inlineStr">
        <is>
          <t>Applied Soft Computing</t>
        </is>
      </c>
      <c r="F13" s="27" t="inlineStr">
        <is>
          <t>10.1016/j.asoc.2021.107624</t>
        </is>
      </c>
      <c r="G13" s="27" t="inlineStr">
        <is>
          <t>CORE_CB-CTT</t>
        </is>
      </c>
      <c r="H13" s="27" t="inlineStr">
        <is>
          <t>Metaheuristic / adaptive neighborhood search</t>
        </is>
      </c>
      <c r="I13" s="27" t="inlineStr">
        <is>
          <t>Local search — competition-guided multi-neighborhood</t>
        </is>
      </c>
      <c r="J13" s="27" t="inlineStr">
        <is>
          <t>Competition-guided multi-neighborhood local search + SA restart</t>
        </is>
      </c>
      <c r="K13" s="27" t="inlineStr">
        <is>
          <t>Well-known CB-CTT benchmark</t>
        </is>
      </c>
      <c r="L13" s="27" t="inlineStr">
        <is>
          <t>RQ1; RQ3</t>
        </is>
      </c>
      <c r="M13" s="27" t="inlineStr">
        <is>
          <t>INCLUDED_PRIMARY</t>
        </is>
      </c>
      <c r="N13" s="27" t="inlineStr">
        <is>
          <t>https://www.sciencedirect.com/science/article/pii/S1568494621005457</t>
        </is>
      </c>
    </row>
    <row r="14">
      <c r="A14" s="27" t="inlineStr">
        <is>
          <t>P019</t>
        </is>
      </c>
      <c r="B14" s="27" t="n">
        <v>2021</v>
      </c>
      <c r="C14" s="27" t="inlineStr">
        <is>
          <t>Akkan; Gülcü; Kuş</t>
        </is>
      </c>
      <c r="D14" s="27" t="inlineStr">
        <is>
          <t>Minimum penalty perturbation heuristics for curriculum-based timetables subject to multiple disruptions</t>
        </is>
      </c>
      <c r="E14" s="27" t="inlineStr">
        <is>
          <t>Computers &amp; Operations Research</t>
        </is>
      </c>
      <c r="F14" s="27" t="inlineStr">
        <is>
          <t>10.1016/j.cor.2021.105306</t>
        </is>
      </c>
      <c r="G14" s="27" t="inlineStr">
        <is>
          <t>CB-CTT_EXTENSION</t>
        </is>
      </c>
      <c r="H14" s="27" t="inlineStr">
        <is>
          <t>Hybrid exact + metaheuristic</t>
        </is>
      </c>
      <c r="I14" s="27" t="inlineStr">
        <is>
          <t>Hybrid repair — SA + integer programming</t>
        </is>
      </c>
      <c r="J14" s="27" t="inlineStr">
        <is>
          <t>Simulated Annealing + integer programming repair algorithms</t>
        </is>
      </c>
      <c r="K14" s="27" t="inlineStr">
        <is>
          <t>ITC-2007 + randomly generated disruption scenarios</t>
        </is>
      </c>
      <c r="L14" s="27" t="inlineStr">
        <is>
          <t>RQ2; RQ3</t>
        </is>
      </c>
      <c r="M14" s="27" t="inlineStr">
        <is>
          <t>INCLUDED_PRIMARY</t>
        </is>
      </c>
      <c r="N14" s="27" t="inlineStr">
        <is>
          <t>https://www.sciencedirect.com/science/article/pii/S0305054821000964</t>
        </is>
      </c>
    </row>
    <row r="15">
      <c r="A15" s="27" t="inlineStr">
        <is>
          <t>P006</t>
        </is>
      </c>
      <c r="B15" s="27" t="n">
        <v>2022</v>
      </c>
      <c r="C15" s="27" t="inlineStr">
        <is>
          <t>De Coster; Musliu; Schaerf; Schoisswohl; Smith-Miles</t>
        </is>
      </c>
      <c r="D15" s="27" t="inlineStr">
        <is>
          <t>Algorithm selection and instance space analysis for curriculum-based course timetabling</t>
        </is>
      </c>
      <c r="E15" s="27" t="inlineStr">
        <is>
          <t>Journal of Scheduling</t>
        </is>
      </c>
      <c r="F15" s="27" t="inlineStr">
        <is>
          <t>10.1007/s10951-021-00701-x</t>
        </is>
      </c>
      <c r="G15" s="27" t="inlineStr">
        <is>
          <t>CORE_CB-CTT</t>
        </is>
      </c>
      <c r="H15" s="27" t="inlineStr">
        <is>
          <t>ML / instance-space analysis</t>
        </is>
      </c>
      <c r="I15" s="27" t="inlineStr">
        <is>
          <t>ML-assisted — instance-space analysis + algorithm selection</t>
        </is>
      </c>
      <c r="J15" s="27" t="inlineStr">
        <is>
          <t>Instance Space Analysis + automated algorithm selection</t>
        </is>
      </c>
      <c r="K15" s="27" t="inlineStr">
        <is>
          <t>Existing real instances + new real-life instances + synthetic instances</t>
        </is>
      </c>
      <c r="L15" s="27" t="inlineStr">
        <is>
          <t>RQ2; RQ3</t>
        </is>
      </c>
      <c r="M15" s="27" t="inlineStr">
        <is>
          <t>INCLUDED_PRIMARY</t>
        </is>
      </c>
      <c r="N15" s="27" t="inlineStr">
        <is>
          <t>https://ideas.repec.org/a/spr/jsched/v25y2022i1d10.1007_s10951-021-00701-x.html</t>
        </is>
      </c>
    </row>
    <row r="16">
      <c r="A16" s="27" t="inlineStr">
        <is>
          <t>P020</t>
        </is>
      </c>
      <c r="B16" s="27" t="n">
        <v>2023</v>
      </c>
      <c r="C16" s="27" t="inlineStr">
        <is>
          <t>Feutrier; Veerapen; Kessaci</t>
        </is>
      </c>
      <c r="D16" s="27" t="inlineStr">
        <is>
          <t>When Simpler is Better: Automated Configuration of a University Timetabling Solver</t>
        </is>
      </c>
      <c r="E16" s="27" t="inlineStr">
        <is>
          <t>2023 IEEE Congress on Evolutionary Computation (CEC)</t>
        </is>
      </c>
      <c r="F16" s="27" t="inlineStr">
        <is>
          <t>10.1109/CEC53210.2023.10253986</t>
        </is>
      </c>
      <c r="G16" s="27" t="inlineStr">
        <is>
          <t>CORE_CB-CTT</t>
        </is>
      </c>
      <c r="H16" s="27" t="inlineStr">
        <is>
          <t>Automated algorithm configuration</t>
        </is>
      </c>
      <c r="I16" s="27" t="inlineStr">
        <is>
          <t>Automatic algorithm configuration — irace</t>
        </is>
      </c>
      <c r="J16" s="27" t="inlineStr">
        <is>
          <t>Decomposition of hybrid solver + irace configuration + ablation</t>
        </is>
      </c>
      <c r="K16" s="27" t="inlineStr">
        <is>
          <t>CB-CTT benchmark(s)</t>
        </is>
      </c>
      <c r="L16" s="27" t="inlineStr">
        <is>
          <t>RQ3</t>
        </is>
      </c>
      <c r="M16" s="27" t="inlineStr">
        <is>
          <t>INCLUDED_PRIMARY</t>
        </is>
      </c>
      <c r="N16" s="27" t="inlineStr">
        <is>
          <t>https://ieeexplore.ieee.org/abstract/document/10253986/</t>
        </is>
      </c>
    </row>
    <row r="17">
      <c r="A17" s="27" t="inlineStr">
        <is>
          <t>P008</t>
        </is>
      </c>
      <c r="B17" s="27" t="n">
        <v>2025</v>
      </c>
      <c r="C17" s="27" t="inlineStr">
        <is>
          <t>Steiner; Pferschy; Schaerf</t>
        </is>
      </c>
      <c r="D17" s="27" t="inlineStr">
        <is>
          <t>Curriculum-based university course timetabling considering individual course of studies</t>
        </is>
      </c>
      <c r="E17" s="27" t="inlineStr">
        <is>
          <t>Central European Journal of Operations Research</t>
        </is>
      </c>
      <c r="F17" s="27" t="inlineStr">
        <is>
          <t>10.1007/s10100-024-00923-2</t>
        </is>
      </c>
      <c r="G17" s="27" t="inlineStr">
        <is>
          <t>CB-CTT_EXTENSION</t>
        </is>
      </c>
      <c r="H17" s="27" t="inlineStr">
        <is>
          <t>Integer linear programming / multi-stage</t>
        </is>
      </c>
      <c r="I17" s="27" t="inlineStr">
        <is>
          <t>Exact / multi-stage — timetabling + student allocation</t>
        </is>
      </c>
      <c r="J17" s="27" t="inlineStr">
        <is>
          <t>Multi-stage timetable + student allocation</t>
        </is>
      </c>
      <c r="K17" s="27" t="inlineStr">
        <is>
          <t>Teacher education real case; individual study paths</t>
        </is>
      </c>
      <c r="L17" s="27" t="inlineStr">
        <is>
          <t>RQ2; RQ3</t>
        </is>
      </c>
      <c r="M17" s="27" t="inlineStr">
        <is>
          <t>INCLUDED_PRIMARY</t>
        </is>
      </c>
      <c r="N17" s="27" t="inlineStr">
        <is>
          <t>https://link.springer.com/article/10.1007/s10100-024-00923-2</t>
        </is>
      </c>
    </row>
    <row r="18">
      <c r="A18" s="27" t="inlineStr">
        <is>
          <t>P009</t>
        </is>
      </c>
      <c r="B18" s="27" t="n">
        <v>2025</v>
      </c>
      <c r="C18" s="27" t="inlineStr">
        <is>
          <t>Feutrier; Veerapen; Kessaci</t>
        </is>
      </c>
      <c r="D18" s="27" t="inlineStr">
        <is>
          <t>Generalizing the Structure of a University Timetabling Solver for Flexible Automatic Algorithm Configuration</t>
        </is>
      </c>
      <c r="E18" s="27" t="inlineStr">
        <is>
          <t>GECCO '25 Companion</t>
        </is>
      </c>
      <c r="F18" s="27" t="inlineStr">
        <is>
          <t>DOI to verify</t>
        </is>
      </c>
      <c r="G18" s="27" t="inlineStr">
        <is>
          <t>CORE_CB-CTT</t>
        </is>
      </c>
      <c r="H18" s="27" t="inlineStr">
        <is>
          <t>Automatic configuration / hybrid metaheuristic</t>
        </is>
      </c>
      <c r="I18" s="27" t="inlineStr">
        <is>
          <t>Automatic configuration — ILS building blocks + irace</t>
        </is>
      </c>
      <c r="J18" s="27" t="inlineStr">
        <is>
          <t>Iterated Local Search building blocks + irace</t>
        </is>
      </c>
      <c r="K18" s="27" t="inlineStr">
        <is>
          <t>CB-CTT benchmarks</t>
        </is>
      </c>
      <c r="L18" s="27" t="inlineStr">
        <is>
          <t>RQ3</t>
        </is>
      </c>
      <c r="M18" s="27" t="inlineStr">
        <is>
          <t>INCLUDED_PRIMARY</t>
        </is>
      </c>
      <c r="N18" s="27" t="inlineStr">
        <is>
          <t>https://www.sigevo.org/gecco-2025/toc-companion.html</t>
        </is>
      </c>
    </row>
    <row r="19">
      <c r="A19" s="27" t="inlineStr">
        <is>
          <t>P010</t>
        </is>
      </c>
      <c r="B19" s="27" t="n">
        <v>2026</v>
      </c>
      <c r="C19" s="27" t="inlineStr">
        <is>
          <t>Ceschia; Da Ros; Di Gaspero; Schaerf</t>
        </is>
      </c>
      <c r="D19" s="27" t="inlineStr">
        <is>
          <t>Revisiting local search for Curriculum-Based Course Timetabling</t>
        </is>
      </c>
      <c r="E19" s="27" t="inlineStr">
        <is>
          <t>Computers &amp; Operations Research</t>
        </is>
      </c>
      <c r="F19" s="27" t="inlineStr">
        <is>
          <t>10.1016/j.cor.2026.107621</t>
        </is>
      </c>
      <c r="G19" s="27" t="inlineStr">
        <is>
          <t>CORE_CB-CTT</t>
        </is>
      </c>
      <c r="H19" s="27" t="inlineStr">
        <is>
          <t>Metaheuristic / local search</t>
        </is>
      </c>
      <c r="I19" s="27" t="inlineStr">
        <is>
          <t>Local search — Simulated Annealing + LectureKick</t>
        </is>
      </c>
      <c r="J19" s="27" t="inlineStr">
        <is>
          <t>Simulated Annealing + LectureKick + neighborhood-bias screening</t>
        </is>
      </c>
      <c r="K19" s="27" t="inlineStr">
        <is>
          <t>Consolidated real and synthetic CB-CTT benchmarks; ITC-2007 UD2</t>
        </is>
      </c>
      <c r="L19" s="27" t="inlineStr">
        <is>
          <t>RQ1; RQ2; RQ3; RQ4</t>
        </is>
      </c>
      <c r="M19" s="27" t="inlineStr">
        <is>
          <t>INCLUDED_PRIMARY</t>
        </is>
      </c>
      <c r="N19" s="27" t="inlineStr">
        <is>
          <t>https://www.sciencedirect.com/science/article/pii/S030505482600239X ; https://github.com/iolab-uniud/cb-ctt</t>
        </is>
      </c>
    </row>
    <row r="20">
      <c r="A20" s="27" t="inlineStr">
        <is>
          <t>P028</t>
        </is>
      </c>
      <c r="B20" s="27" t="n">
        <v>2015</v>
      </c>
      <c r="C20" s="27" t="inlineStr">
        <is>
          <t>Juliana Wahid; Naimah Mohd Hussin</t>
        </is>
      </c>
      <c r="D20" s="27" t="inlineStr">
        <is>
          <t>Solving Curriculum Based Course Timetabling by Hybridizing Local Search Based Method within Harmony Search Algorithm</t>
        </is>
      </c>
      <c r="E20" s="27" t="inlineStr">
        <is>
          <t>Communications in Computer and Information Science</t>
        </is>
      </c>
      <c r="F20" s="27" t="inlineStr">
        <is>
          <t>10.1007/978-981-287-936-3_14</t>
        </is>
      </c>
      <c r="G20" s="27" t="inlineStr">
        <is>
          <t>CORE_CB-CTT</t>
        </is>
      </c>
      <c r="H20" s="27" t="inlineStr">
        <is>
          <t>Hybrid metaheuristic</t>
        </is>
      </c>
      <c r="I20" s="27" t="inlineStr">
        <is>
          <t>Music-inspired + local search</t>
        </is>
      </c>
      <c r="J20" s="27" t="inlineStr">
        <is>
          <t>Harmony Search + Great Deluge</t>
        </is>
      </c>
      <c r="K20" s="27" t="inlineStr">
        <is>
          <t>CB-CTT / ITC-2007 Track 3</t>
        </is>
      </c>
      <c r="L20" s="27" t="inlineStr">
        <is>
          <t>RQ1; RQ2; RQ3</t>
        </is>
      </c>
      <c r="M20" s="27" t="inlineStr">
        <is>
          <t>INCLUDED_PRIMARY</t>
        </is>
      </c>
      <c r="N20" s="27" t="inlineStr">
        <is>
          <t>https://doi.org/10.1007/978-981-287-936-3_14</t>
        </is>
      </c>
    </row>
    <row r="21">
      <c r="A21" s="27" t="inlineStr">
        <is>
          <t>P029</t>
        </is>
      </c>
      <c r="B21" s="27" t="n">
        <v>2016</v>
      </c>
      <c r="C21" s="27" t="inlineStr">
        <is>
          <t>Patrick Kenekayoro; Godswill Zipamone</t>
        </is>
      </c>
      <c r="D21" s="27" t="inlineStr">
        <is>
          <t>Greedy Ants Colony Optimization Strategy for Solving the Curriculum Based University Course Timetabling Problem</t>
        </is>
      </c>
      <c r="E21" s="27" t="inlineStr">
        <is>
          <t>Journal of Advances in Mathematics and Computer Science</t>
        </is>
      </c>
      <c r="F21" s="27" t="inlineStr">
        <is>
          <t>10.9734/BJMCS/2016/23143</t>
        </is>
      </c>
      <c r="G21" s="27" t="inlineStr">
        <is>
          <t>CORE_CB-CTT</t>
        </is>
      </c>
      <c r="H21" s="27" t="inlineStr">
        <is>
          <t>Swarm intelligence</t>
        </is>
      </c>
      <c r="I21" s="27" t="inlineStr">
        <is>
          <t>Ant Colony Optimization</t>
        </is>
      </c>
      <c r="J21" s="27" t="inlineStr">
        <is>
          <t>Greedy Ant System / ACO</t>
        </is>
      </c>
      <c r="K21" s="27" t="inlineStr">
        <is>
          <t>ITC-2007 Track 3 CB-CTT</t>
        </is>
      </c>
      <c r="L21" s="27" t="inlineStr">
        <is>
          <t>RQ1; RQ2; RQ3</t>
        </is>
      </c>
      <c r="M21" s="27" t="inlineStr">
        <is>
          <t>INCLUDED_PRIMARY</t>
        </is>
      </c>
      <c r="N21" s="27" t="inlineStr">
        <is>
          <t>https://doi.org/10.9734/BJMCS/2016/23143</t>
        </is>
      </c>
    </row>
    <row r="22">
      <c r="A22" s="27" t="inlineStr">
        <is>
          <t>P035</t>
        </is>
      </c>
      <c r="B22" s="27" t="n">
        <v>2016</v>
      </c>
      <c r="C22" s="27" t="inlineStr">
        <is>
          <t>Jorge A. Soria-Alcaraz; Ender Özcan; Jerry Swan; Graham Kendall; Martin Carpio</t>
        </is>
      </c>
      <c r="D22" s="27" t="inlineStr">
        <is>
          <t>Iterated local search using an add and delete hyper-heuristic for university course timetabling</t>
        </is>
      </c>
      <c r="E22" s="27" t="inlineStr">
        <is>
          <t>Applied Soft Computing</t>
        </is>
      </c>
      <c r="F22" s="27" t="inlineStr">
        <is>
          <t>10.1016/j.asoc.2015.11.043</t>
        </is>
      </c>
      <c r="G22" s="27" t="inlineStr">
        <is>
          <t>CORE_CB-CTT</t>
        </is>
      </c>
      <c r="H22" s="27" t="inlineStr">
        <is>
          <t>Hyper-heuristic / local search</t>
        </is>
      </c>
      <c r="I22" s="27" t="inlineStr">
        <is>
          <t>Selection/generation hyper-heuristic</t>
        </is>
      </c>
      <c r="J22" s="27" t="inlineStr">
        <is>
          <t>Iterated Local Search + add/delete-list hyper-heuristic</t>
        </is>
      </c>
      <c r="K22" s="27" t="inlineStr">
        <is>
          <t>ITC-2007 Tracks 2 and 3</t>
        </is>
      </c>
      <c r="L22" s="27" t="inlineStr">
        <is>
          <t>RQ1; RQ2; RQ3</t>
        </is>
      </c>
      <c r="M22" s="27" t="inlineStr">
        <is>
          <t>INCLUDED_PRIMARY</t>
        </is>
      </c>
      <c r="N22" s="27" t="inlineStr">
        <is>
          <t>https://doi.org/10.1016/j.asoc.2015.11.043</t>
        </is>
      </c>
    </row>
    <row r="23">
      <c r="A23" s="27" t="inlineStr">
        <is>
          <t>P036</t>
        </is>
      </c>
      <c r="B23" s="27" t="n">
        <v>2016</v>
      </c>
      <c r="C23" s="27" t="inlineStr">
        <is>
          <t>Ahmed H. Yousef; Cherif Salama; Mohammad Y. Jad; Tarek El-Gafy; Mona Matar; Suzanne S. Habashi</t>
        </is>
      </c>
      <c r="D23" s="27" t="inlineStr">
        <is>
          <t>A GPU Based Genetic Algorithm Solution for the Timetabling Problem</t>
        </is>
      </c>
      <c r="E23" s="27" t="inlineStr">
        <is>
          <t>2016 11th International Conference on Computer Engineering &amp; Systems (ICCES)</t>
        </is>
      </c>
      <c r="F23" s="27" t="inlineStr">
        <is>
          <t>10.1109/ICCES.2016.7821982</t>
        </is>
      </c>
      <c r="G23" s="27" t="inlineStr">
        <is>
          <t>CORE_CB-CTT</t>
        </is>
      </c>
      <c r="H23" s="27" t="inlineStr">
        <is>
          <t>Evolutionary / hybrid metaheuristic</t>
        </is>
      </c>
      <c r="I23" s="27" t="inlineStr">
        <is>
          <t>Genetic Algorithm + local search + GPU acceleration</t>
        </is>
      </c>
      <c r="J23" s="27" t="inlineStr">
        <is>
          <t>GPU-based GA with local search</t>
        </is>
      </c>
      <c r="K23" s="27" t="inlineStr">
        <is>
          <t>ITC-2007 Track 3; additional large instances including Erlangen</t>
        </is>
      </c>
      <c r="L23" s="27" t="inlineStr">
        <is>
          <t>RQ1; RQ2; RQ3</t>
        </is>
      </c>
      <c r="M23" s="27" t="inlineStr">
        <is>
          <t>INCLUDED_PRIMARY</t>
        </is>
      </c>
      <c r="N23" s="27" t="inlineStr">
        <is>
          <t>https://doi.org/10.1109/ICCES.2016.7821982</t>
        </is>
      </c>
    </row>
    <row r="24">
      <c r="A24" s="27" t="inlineStr">
        <is>
          <t>P037</t>
        </is>
      </c>
      <c r="B24" s="27" t="n">
        <v>2018</v>
      </c>
      <c r="C24" s="27" t="inlineStr">
        <is>
          <t>Junrie B. Matias; Arnel C. Fajardo; Ruji P. Medina</t>
        </is>
      </c>
      <c r="D24" s="27" t="inlineStr">
        <is>
          <t>Examining Genetic Algorithm with Guided Search and Self-Adaptive Neighborhood Strategies for Curriculum-Based Course Timetable Problem</t>
        </is>
      </c>
      <c r="E24" s="27" t="inlineStr">
        <is>
          <t>2018 4th International Conference on Advances in Computing, Communication &amp; Automation (ICACCA)</t>
        </is>
      </c>
      <c r="F24" s="27" t="inlineStr">
        <is>
          <t>10.1109/ICACCAF.2018.8776728</t>
        </is>
      </c>
      <c r="G24" s="27" t="inlineStr">
        <is>
          <t>CORE_CB-CTT</t>
        </is>
      </c>
      <c r="H24" s="27" t="inlineStr">
        <is>
          <t>Evolutionary / hybrid metaheuristic</t>
        </is>
      </c>
      <c r="I24" s="27" t="inlineStr">
        <is>
          <t>Genetic Algorithm + adaptive neighborhoods</t>
        </is>
      </c>
      <c r="J24" s="27" t="inlineStr">
        <is>
          <t>GA + guided search + self-adaptive neighborhood selection</t>
        </is>
      </c>
      <c r="K24" s="27" t="inlineStr">
        <is>
          <t>Curriculum-based course timetabling benchmark</t>
        </is>
      </c>
      <c r="L24" s="27" t="inlineStr">
        <is>
          <t>RQ1; RQ3</t>
        </is>
      </c>
      <c r="M24" s="27" t="inlineStr">
        <is>
          <t>INCLUDED_PRIMARY</t>
        </is>
      </c>
      <c r="N24" s="27" t="inlineStr">
        <is>
          <t>https://doi.org/10.1109/ICACCAF.2018.8776728</t>
        </is>
      </c>
    </row>
    <row r="25">
      <c r="A25" s="27" t="inlineStr">
        <is>
          <t>P038</t>
        </is>
      </c>
      <c r="B25" s="27" t="n">
        <v>2026</v>
      </c>
      <c r="C25" s="27" t="inlineStr">
        <is>
          <t>Tam Minh Nguyen</t>
        </is>
      </c>
      <c r="D25" s="27" t="inlineStr">
        <is>
          <t>Adaptive Penalty-Guided VND with CP-SAT for Curriculum-Based Course Timetabling</t>
        </is>
      </c>
      <c r="E25" s="27" t="inlineStr">
        <is>
          <t>SCITEPRESS conference proceedings (2026)</t>
        </is>
      </c>
      <c r="F25" s="27" t="inlineStr">
        <is>
          <t>10.5220/0014437700004052</t>
        </is>
      </c>
      <c r="G25" s="27" t="inlineStr">
        <is>
          <t>CORE_CB-CTT</t>
        </is>
      </c>
      <c r="H25" s="27" t="inlineStr">
        <is>
          <t>Hybrid exact + local search</t>
        </is>
      </c>
      <c r="I25" s="27" t="inlineStr">
        <is>
          <t>Variable Neighborhood Descent + Constraint Programming</t>
        </is>
      </c>
      <c r="J25" s="27" t="inlineStr">
        <is>
          <t>CP-SAT initialization + adaptive penalty-guided VND + Kempe-chain/min-cost flow</t>
        </is>
      </c>
      <c r="K25" s="27" t="inlineStr">
        <is>
          <t>ITC-2007 Track 3</t>
        </is>
      </c>
      <c r="L25" s="27" t="inlineStr">
        <is>
          <t>RQ1; RQ2; RQ3; RQ4</t>
        </is>
      </c>
      <c r="M25" s="27" t="inlineStr">
        <is>
          <t>INCLUDED_PRIMARY</t>
        </is>
      </c>
      <c r="N25" s="27" t="inlineStr">
        <is>
          <t>https://www.scitepress.org/PublishedPapers/2026/144377/</t>
        </is>
      </c>
    </row>
    <row r="26">
      <c r="A26" s="27" t="inlineStr">
        <is>
          <t>P039</t>
        </is>
      </c>
      <c r="B26" s="27" t="n">
        <v>2023</v>
      </c>
      <c r="C26" s="27" t="inlineStr">
        <is>
          <t>Rakesh P. Badoni; Jayakrushna Sahoo; Shwetabh Srivastava; Mukesh Mann; D. K. Gupta; Swati Verma; Predrag S. Stanimirović; Lev A. Kazakovtsev; Darjan Karabašević</t>
        </is>
      </c>
      <c r="D26" s="27" t="inlineStr">
        <is>
          <t>An Exploration and Exploitation-Based Metaheuristic Approach for University Course Timetabling Problems</t>
        </is>
      </c>
      <c r="E26" s="27" t="inlineStr">
        <is>
          <t>Axioms</t>
        </is>
      </c>
      <c r="F26" s="27" t="inlineStr">
        <is>
          <t>10.3390/axioms12080720</t>
        </is>
      </c>
      <c r="G26" s="27" t="inlineStr">
        <is>
          <t>CORE_CB-CTT</t>
        </is>
      </c>
      <c r="H26" s="27" t="inlineStr">
        <is>
          <t>Hybrid evolutionary + local search</t>
        </is>
      </c>
      <c r="I26" s="27" t="inlineStr">
        <is>
          <t>Genetic Algorithm + Iterated Local Search</t>
        </is>
      </c>
      <c r="J26" s="27" t="inlineStr">
        <is>
          <t>GA exploration + ILS exploitation</t>
        </is>
      </c>
      <c r="K26" s="27" t="inlineStr">
        <is>
          <t>CB-CTT and PE-CTT benchmark variants</t>
        </is>
      </c>
      <c r="L26" s="27" t="inlineStr">
        <is>
          <t>RQ1; RQ2; RQ3</t>
        </is>
      </c>
      <c r="M26" s="27" t="inlineStr">
        <is>
          <t>INCLUDED_PRIMARY</t>
        </is>
      </c>
      <c r="N26" s="27" t="inlineStr">
        <is>
          <t>https://doi.org/10.3390/axioms12080720</t>
        </is>
      </c>
    </row>
  </sheetData>
  <autoFilter ref="A1:N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37" t="inlineStr">
        <is>
          <t>Screening stage</t>
        </is>
      </c>
      <c r="B1" s="37" t="inlineStr">
        <is>
          <t>Count</t>
        </is>
      </c>
    </row>
    <row r="2">
      <c r="A2" t="inlineStr">
        <is>
          <t>Candidate records frozen</t>
        </is>
      </c>
      <c r="B2" t="n">
        <v>40</v>
      </c>
    </row>
    <row r="3">
      <c r="A3" t="inlineStr">
        <is>
          <t>Included primary studies</t>
        </is>
      </c>
      <c r="B3" t="n">
        <v>25</v>
      </c>
    </row>
    <row r="4">
      <c r="A4" t="inlineStr">
        <is>
          <t xml:space="preserve">  Core CB-CTT</t>
        </is>
      </c>
      <c r="B4" t="n">
        <v>21</v>
      </c>
    </row>
    <row r="5">
      <c r="A5" t="inlineStr">
        <is>
          <t xml:space="preserve">  CB-CTT extensions</t>
        </is>
      </c>
      <c r="B5" t="n">
        <v>4</v>
      </c>
    </row>
    <row r="6">
      <c r="A6" t="inlineStr">
        <is>
          <t>Context-only records</t>
        </is>
      </c>
      <c r="B6" t="n">
        <v>13</v>
      </c>
    </row>
    <row r="7">
      <c r="A7" t="inlineStr">
        <is>
          <t xml:space="preserve">  Reviews / surveys</t>
        </is>
      </c>
      <c r="B7" t="n">
        <v>3</v>
      </c>
    </row>
    <row r="8">
      <c r="A8" t="inlineStr">
        <is>
          <t xml:space="preserve">  Foundational pre-2015</t>
        </is>
      </c>
      <c r="B8" t="n">
        <v>6</v>
      </c>
    </row>
    <row r="9">
      <c r="A9" t="inlineStr">
        <is>
          <t xml:space="preserve">  UCTP/UCSP trend context</t>
        </is>
      </c>
      <c r="B9" t="n">
        <v>4</v>
      </c>
    </row>
    <row r="10">
      <c r="A10" t="inlineStr">
        <is>
          <t>Excluded records</t>
        </is>
      </c>
      <c r="B10" t="n">
        <v>2</v>
      </c>
    </row>
    <row r="13">
      <c r="A13" s="38" t="inlineStr">
        <is>
          <t>Final screening rule</t>
        </is>
      </c>
    </row>
    <row r="14">
      <c r="A14" s="27" t="inlineStr">
        <is>
          <t>Primary corpus requires publication in 2015–2026 and direct CB-CTT evidence (or a CB-CTT extension explicitly rooted in that formulation). Reviews, pre-2015 work and UCTP/UCSP studies without demonstrated CB-CTT equivalence remain contextual. PE-CTT-only studies are excluded.</t>
        </is>
      </c>
    </row>
    <row r="15"/>
    <row r="16"/>
    <row r="18">
      <c r="A18" s="38" t="inlineStr">
        <is>
          <t>Important correction</t>
        </is>
      </c>
    </row>
    <row r="19">
      <c r="A19" s="27" t="inlineStr">
        <is>
          <t>P031 was corrected from 2015 to 2012 based on the full-text chapter header and author CV bibliographic record; it is therefore context/foundational rather than part of the 2015–2026 corpus.</t>
        </is>
      </c>
    </row>
    <row r="20"/>
    <row r="21"/>
  </sheetData>
  <mergeCells count="2">
    <mergeCell ref="A14:B16"/>
    <mergeCell ref="A19:B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55" customWidth="1" min="4" max="4"/>
    <col width="20" customWidth="1" min="5" max="5"/>
    <col width="48" customWidth="1" min="6" max="6"/>
    <col width="26" customWidth="1" min="7" max="7"/>
    <col width="50" customWidth="1" min="8" max="8"/>
    <col width="48" customWidth="1" min="9" max="9"/>
    <col width="48" customWidth="1" min="10" max="10"/>
    <col width="62" customWidth="1" min="11" max="11"/>
    <col width="24" customWidth="1" min="12" max="12"/>
    <col width="28" customWidth="1" min="13" max="13"/>
    <col width="18" customWidth="1" min="14" max="14"/>
    <col width="50" customWidth="1" min="15" max="15"/>
    <col width="18" customWidth="1" min="16" max="16"/>
    <col width="32" customWidth="1" min="17" max="17"/>
    <col width="75" customWidth="1" min="18" max="18"/>
  </cols>
  <sheetData>
    <row r="1">
      <c r="A1" s="41" t="inlineStr">
        <is>
          <t>Paper_ID</t>
        </is>
      </c>
      <c r="B1" s="41" t="inlineStr">
        <is>
          <t>Year</t>
        </is>
      </c>
      <c r="C1" s="41" t="inlineStr">
        <is>
          <t>Authors</t>
        </is>
      </c>
      <c r="D1" s="41" t="inlineStr">
        <is>
          <t>Title</t>
        </is>
      </c>
      <c r="E1" s="41" t="inlineStr">
        <is>
          <t>Corpus_Tier</t>
        </is>
      </c>
      <c r="F1" s="41" t="inlineStr">
        <is>
          <t>Benchmark_or_Dataset</t>
        </is>
      </c>
      <c r="G1" s="41" t="inlineStr">
        <is>
          <t>N_Instances_or_Scale</t>
        </is>
      </c>
      <c r="H1" s="41" t="inlineStr">
        <is>
          <t>Method</t>
        </is>
      </c>
      <c r="I1" s="41" t="inlineStr">
        <is>
          <t>Metrics</t>
        </is>
      </c>
      <c r="J1" s="41" t="inlineStr">
        <is>
          <t>Baseline_or_Comparator</t>
        </is>
      </c>
      <c r="K1" s="41" t="inlineStr">
        <is>
          <t>Main_Result</t>
        </is>
      </c>
      <c r="L1" s="41" t="inlineStr">
        <is>
          <t>Code_Available</t>
        </is>
      </c>
      <c r="M1" s="41" t="inlineStr">
        <is>
          <t>Data_Available</t>
        </is>
      </c>
      <c r="N1" s="41" t="inlineStr">
        <is>
          <t>Reproducibility</t>
        </is>
      </c>
      <c r="O1" s="41" t="inlineStr">
        <is>
          <t>Reproducibility_Rationale</t>
        </is>
      </c>
      <c r="P1" s="41" t="inlineStr">
        <is>
          <t>RQ_Coverage</t>
        </is>
      </c>
      <c r="Q1" s="41" t="inlineStr">
        <is>
          <t>Evidence_Status</t>
        </is>
      </c>
      <c r="R1" s="41" t="inlineStr">
        <is>
          <t>Source_URLs</t>
        </is>
      </c>
    </row>
    <row r="2">
      <c r="A2" s="34" t="inlineStr">
        <is>
          <t>P002</t>
        </is>
      </c>
      <c r="B2" s="34" t="n">
        <v>2016</v>
      </c>
      <c r="C2" s="34" t="inlineStr">
        <is>
          <t>Bellio; Ceschia; Di Gaspero; Schaerf; Urli</t>
        </is>
      </c>
      <c r="D2" s="34" t="inlineStr">
        <is>
          <t>Feature-based tuning of simulated annealing applied to the curriculum-based course timetabling problem</t>
        </is>
      </c>
      <c r="E2" s="34" t="inlineStr">
        <is>
          <t>CORE_CB-CTT</t>
        </is>
      </c>
      <c r="F2" s="34" t="inlineStr">
        <is>
          <t>Multiple CB-CTT benchmarks available at the time (incl. ITC-2007/comp and other real-world sets) + artificial training instances; introduces new real-world instances</t>
        </is>
      </c>
      <c r="G2" s="34" t="inlineStr">
        <is>
          <t>Multiple sets; exact total not consistently exposed in accessible source</t>
        </is>
      </c>
      <c r="H2" s="34" t="inlineStr">
        <is>
          <t>Single-stage Simulated Annealing with multiple neighborhoods + feature-based parameter tuning</t>
        </is>
      </c>
      <c r="I2" s="34" t="inlineStr">
        <is>
          <t>Objective/penalty value, runtime under comparable budget, parameter/feature effects, ablation of neighborhoods</t>
        </is>
      </c>
      <c r="J2" s="34" t="inlineStr">
        <is>
          <t>State-of-the-art CB-CTT solvers from the literature under equal running time</t>
        </is>
      </c>
      <c r="K2" s="34" t="inlineStr">
        <is>
          <t>Improves or matches prior search methods on most available real-world benchmark instances at equal runtime; feature-based tuning generalizes parameters to unseen instances.</t>
        </is>
      </c>
      <c r="L2" s="34" t="inlineStr">
        <is>
          <t>Yes — public source code reported by paper</t>
        </is>
      </c>
      <c r="M2" s="34" t="inlineStr">
        <is>
          <t>Yes — benchmark instances/solutions and new real-world instances reported public</t>
        </is>
      </c>
      <c r="N2" s="21" t="inlineStr">
        <is>
          <t>Alta</t>
        </is>
      </c>
      <c r="O2" s="42" t="inlineStr">
        <is>
          <t>Public code + public benchmark data + detailed tuning/experimental protocol.</t>
        </is>
      </c>
      <c r="P2" s="34" t="inlineStr">
        <is>
          <t>RQ1; RQ2; RQ3</t>
        </is>
      </c>
      <c r="Q2" s="34" t="inlineStr">
        <is>
          <t>Verified from publisher/arXiv excerpts</t>
        </is>
      </c>
      <c r="R2" s="34" t="inlineStr">
        <is>
          <t>https://doi.org/10.1016/j.cor.2015.07.002 ; https://arxiv.org/abs/1409.7186 ; https://bitbucket.org/satt/public-cb-ctt</t>
        </is>
      </c>
    </row>
    <row r="3">
      <c r="A3" s="34" t="inlineStr">
        <is>
          <t>P011</t>
        </is>
      </c>
      <c r="B3" s="34" t="n">
        <v>2017</v>
      </c>
      <c r="C3" s="34" t="inlineStr">
        <is>
          <t>Kiefer; Hartl; Schnell</t>
        </is>
      </c>
      <c r="D3" s="34" t="inlineStr">
        <is>
          <t>Adaptive large neighborhood search for the curriculum-based course timetabling problem</t>
        </is>
      </c>
      <c r="E3" s="34" t="inlineStr">
        <is>
          <t>CORE_CB-CTT</t>
        </is>
      </c>
      <c r="F3" s="34" t="inlineStr">
        <is>
          <t>ITC-2007 Track 3 / comp benchmark</t>
        </is>
      </c>
      <c r="G3" s="34" t="inlineStr">
        <is>
          <t>21</t>
        </is>
      </c>
      <c r="H3" s="34" t="inlineStr">
        <is>
          <t>Adaptive Large Neighborhood Search (ALNS)</t>
        </is>
      </c>
      <c r="I3" s="34" t="inlineStr">
        <is>
          <t>Penalty/objective value, average gap/best-known performance, runtime/iterations</t>
        </is>
      </c>
      <c r="J3" s="34" t="inlineStr">
        <is>
          <t>Non-adaptive large-neighborhood variants and state-of-the-art CB-CTT methods</t>
        </is>
      </c>
      <c r="K3" s="34" t="inlineStr">
        <is>
          <t>Competitive with state of the art; literature reports new best solutions on several ITC-2007 instances and measurable benefit from adaptive neighborhood selection.</t>
        </is>
      </c>
      <c r="L3" s="34" t="inlineStr">
        <is>
          <t>Not identified in public search</t>
        </is>
      </c>
      <c r="M3" s="34" t="inlineStr">
        <is>
          <t>Yes — ITC-2007 public benchmark</t>
        </is>
      </c>
      <c r="N3" s="43" t="inlineStr">
        <is>
          <t>Media</t>
        </is>
      </c>
      <c r="O3" s="42" t="inlineStr">
        <is>
          <t>Public data and well-specified method; public code not verified.</t>
        </is>
      </c>
      <c r="P3" s="34" t="inlineStr">
        <is>
          <t>RQ1; RQ3</t>
        </is>
      </c>
      <c r="Q3" s="34" t="inlineStr">
        <is>
          <t>Benchmark and comparative claims verified; code status not verified</t>
        </is>
      </c>
      <c r="R3" s="34" t="inlineStr">
        <is>
          <t>https://doi.org/10.1007/s10479-016-2151-2 ; https://scispace.com/papers/meta-analysis-of-metaheuristics-quantifying-the-effect-of-1u17hm0q66</t>
        </is>
      </c>
    </row>
    <row r="4">
      <c r="A4" s="34" t="inlineStr">
        <is>
          <t>P012</t>
        </is>
      </c>
      <c r="B4" s="34" t="n">
        <v>2018</v>
      </c>
      <c r="C4" s="34" t="inlineStr">
        <is>
          <t>Bagger; Sørensen; Stidsen</t>
        </is>
      </c>
      <c r="D4" s="34" t="inlineStr">
        <is>
          <t>Benders’ decomposition for curriculum-based course timetabling</t>
        </is>
      </c>
      <c r="E4" s="34" t="inlineStr">
        <is>
          <t>CORE_CB-CTT</t>
        </is>
      </c>
      <c r="F4" s="34" t="inlineStr">
        <is>
          <t>CB-CTT benchmark collections including ITC-2007; plus 6 much larger instances</t>
        </is>
      </c>
      <c r="G4" s="34" t="inlineStr">
        <is>
          <t>32 comparison instances + 6 large instances = 38</t>
        </is>
      </c>
      <c r="H4" s="34" t="inlineStr">
        <is>
          <t>Benders decomposition separating time scheduling and room allocation + feasibility recovery heuristic</t>
        </is>
      </c>
      <c r="I4" s="34" t="inlineStr">
        <is>
          <t>Lower bound, upper bound, optimality gap, average rank, CPU-time limits</t>
        </is>
      </c>
      <c r="J4" s="34" t="inlineStr">
        <is>
          <t>Other mathematical-programming/lower-bound approaches from literature and undecomposed model</t>
        </is>
      </c>
      <c r="K4" s="34" t="inlineStr">
        <is>
          <t>On 23 instances lower bounds were at least as good as state of the art; higher on 8; improved best-known LB on 2; first LBs reported for 6 large instances.</t>
        </is>
      </c>
      <c r="L4" s="34" t="inlineStr">
        <is>
          <t>Not identified</t>
        </is>
      </c>
      <c r="M4" s="34" t="inlineStr">
        <is>
          <t>Yes — public benchmark instances</t>
        </is>
      </c>
      <c r="N4" s="43" t="inlineStr">
        <is>
          <t>Media</t>
        </is>
      </c>
      <c r="O4" s="42" t="inlineStr">
        <is>
          <t>Public benchmark + detailed model/time-limit comparisons; code not verified.</t>
        </is>
      </c>
      <c r="P4" s="34" t="inlineStr">
        <is>
          <t>RQ1; RQ2</t>
        </is>
      </c>
      <c r="Q4" s="34" t="inlineStr">
        <is>
          <t>Verified from publisher and accepted-manuscript excerpts</t>
        </is>
      </c>
      <c r="R4" s="34" t="inlineStr">
        <is>
          <t>https://doi.org/10.1016/j.cor.2017.10.009 ; https://orbit.dtu.dk/en/publications/benders-decomposition-for-curriculum-based-course-timetabling/</t>
        </is>
      </c>
    </row>
    <row r="5">
      <c r="A5" s="34" t="inlineStr">
        <is>
          <t>P013</t>
        </is>
      </c>
      <c r="B5" s="34" t="n">
        <v>2018</v>
      </c>
      <c r="C5" s="34" t="inlineStr">
        <is>
          <t>Lindahl; Sørensen; Stidsen</t>
        </is>
      </c>
      <c r="D5" s="34" t="inlineStr">
        <is>
          <t>A fix-and-optimize matheuristic for university timetabling</t>
        </is>
      </c>
      <c r="E5" s="34" t="inlineStr">
        <is>
          <t>CORE_CB-CTT</t>
        </is>
      </c>
      <c r="F5" s="34" t="inlineStr">
        <is>
          <t>ITC-2007 and additional literature university-timetabling instances</t>
        </is>
      </c>
      <c r="G5" s="34" t="inlineStr">
        <is>
          <t>At least 21 ITC-2007 instances; total experimental count not verified</t>
        </is>
      </c>
      <c r="H5" s="34" t="inlineStr">
        <is>
          <t>Fix-and-optimize matheuristic using a MIP solver as large-neighborhood search with adaptive neighborhood sizes</t>
        </is>
      </c>
      <c r="I5" s="34" t="inlineStr">
        <is>
          <t>Objective value, runtime, MIP gap, neighborhood contribution</t>
        </is>
      </c>
      <c r="J5" s="34" t="inlineStr">
        <is>
          <t>Full state-of-the-art MIP solver; ITC-2007 winner; recent metaheuristics</t>
        </is>
      </c>
      <c r="K5" s="34" t="inlineStr">
        <is>
          <t>Outperforms solving the full MIP directly, especially on large/constrained instances; better than ITC-2007 winner but below the most recent metaheuristics.</t>
        </is>
      </c>
      <c r="L5" s="34" t="inlineStr">
        <is>
          <t>Not identified</t>
        </is>
      </c>
      <c r="M5" s="34" t="inlineStr">
        <is>
          <t>Yes — ITC-2007/literature benchmarks</t>
        </is>
      </c>
      <c r="N5" s="43" t="inlineStr">
        <is>
          <t>Media</t>
        </is>
      </c>
      <c r="O5" s="42" t="inlineStr">
        <is>
          <t>Public benchmarks and detailed computational study; code not verified.</t>
        </is>
      </c>
      <c r="P5" s="34" t="inlineStr">
        <is>
          <t>RQ1; RQ3</t>
        </is>
      </c>
      <c r="Q5" s="34" t="inlineStr">
        <is>
          <t>Verified from DTU full-text/abstract excerpts</t>
        </is>
      </c>
      <c r="R5" s="34" t="inlineStr">
        <is>
          <t>https://doi.org/10.1007/s10732-018-9371-3 ; https://orbit.dtu.dk/en/publications/a-fix-and-optimize-matheuristic-for-university-timetabling/</t>
        </is>
      </c>
    </row>
    <row r="6">
      <c r="A6" s="34" t="inlineStr">
        <is>
          <t>P014</t>
        </is>
      </c>
      <c r="B6" s="34" t="n">
        <v>2018</v>
      </c>
      <c r="C6" s="34" t="inlineStr">
        <is>
          <t>Akkan; Gülcü</t>
        </is>
      </c>
      <c r="D6" s="34" t="inlineStr">
        <is>
          <t>A bi-criteria hybrid Genetic Algorithm with robustness objective for the course timetabling problem</t>
        </is>
      </c>
      <c r="E6" s="34" t="inlineStr">
        <is>
          <t>CB-CTT_EXTENSION</t>
        </is>
      </c>
      <c r="F6" s="34" t="inlineStr">
        <is>
          <t>ITC-2007 Track 3 / comp</t>
        </is>
      </c>
      <c r="G6" s="34" t="inlineStr">
        <is>
          <t>21</t>
        </is>
      </c>
      <c r="H6" s="34" t="inlineStr">
        <is>
          <t>Bi-criteria Multi-objective Genetic Algorithm + Hill Climbing + Simulated Annealing</t>
        </is>
      </c>
      <c r="I6" s="34" t="inlineStr">
        <is>
          <t>Penalty objective, robustness objective, Pareto-front convergence/diversity metrics</t>
        </is>
      </c>
      <c r="J6" s="34" t="inlineStr">
        <is>
          <t>Müller; Lü &amp; Hao; Abdullah; Bellio et al. and best-known ITC-2007 penalty results</t>
        </is>
      </c>
      <c r="K6" s="34" t="inlineStr">
        <is>
          <t>Produces robust Pareto fronts while keeping penalty values close to best-known results; SA component is needed for strongest penalty performance.</t>
        </is>
      </c>
      <c r="L6" s="34" t="inlineStr">
        <is>
          <t>Not identified</t>
        </is>
      </c>
      <c r="M6" s="34" t="inlineStr">
        <is>
          <t>Yes — ITC-2007 public</t>
        </is>
      </c>
      <c r="N6" s="43" t="inlineStr">
        <is>
          <t>Media</t>
        </is>
      </c>
      <c r="O6" s="42" t="inlineStr">
        <is>
          <t>Public data and detailed metrics/baselines; code not verified.</t>
        </is>
      </c>
      <c r="P6" s="34" t="inlineStr">
        <is>
          <t>RQ1; RQ2; RQ3</t>
        </is>
      </c>
      <c r="Q6" s="34" t="inlineStr">
        <is>
          <t>Verified from full publisher page</t>
        </is>
      </c>
      <c r="R6" s="34" t="inlineStr">
        <is>
          <t>https://doi.org/10.1016/j.cor.2017.09.007</t>
        </is>
      </c>
    </row>
    <row r="7">
      <c r="A7" s="34" t="inlineStr">
        <is>
          <t>P003</t>
        </is>
      </c>
      <c r="B7" s="34" t="n">
        <v>2019</v>
      </c>
      <c r="C7" s="34" t="inlineStr">
        <is>
          <t>Banbara; Inoue; Kaufmann; Okimoto; Schaub; Soh; Tamura; Wanko</t>
        </is>
      </c>
      <c r="D7" s="34" t="inlineStr">
        <is>
          <t>Teaspoon: Solving the curriculum-based course timetabling problems with answer set programming</t>
        </is>
      </c>
      <c r="E7" s="34" t="inlineStr">
        <is>
          <t>CORE_CB-CTT</t>
        </is>
      </c>
      <c r="F7" s="34" t="inlineStr">
        <is>
          <t>Seven CB-CTT families: ITC-2007, DDS-2008, test, Erlangen, EasyAcademy, Udine, UUMCAS</t>
        </is>
      </c>
      <c r="G7" s="34" t="inlineStr">
        <is>
          <t>61 total (21+7+5+6+12+9+1)</t>
        </is>
      </c>
      <c r="H7" s="34" t="inlineStr">
        <is>
          <t>Answer Set Programming (ASP) via teaspoon + clingo; supports multiple UD formulations and extensions</t>
        </is>
      </c>
      <c r="I7" s="34" t="inlineStr">
        <is>
          <t>Best objective/bounds, feasibility/optimality behavior, runtime/memory under 3h/20GB limits</t>
        </is>
      </c>
      <c r="J7" s="34" t="inlineStr">
        <is>
          <t>Best-known bounds/results from dedicated CB-CTT implementations</t>
        </is>
      </c>
      <c r="K7" s="34" t="inlineStr">
        <is>
          <t>Shows ASP is competitive with dedicated implementations across a broad multi-dataset benchmark and enables multi-objective/minimal-perturbation extensions.</t>
        </is>
      </c>
      <c r="L7" s="34" t="inlineStr">
        <is>
          <t>System described; standalone public repository not verified</t>
        </is>
      </c>
      <c r="M7" s="34" t="inlineStr">
        <is>
          <t>Yes — CB-CTT portal benchmark families public</t>
        </is>
      </c>
      <c r="N7" s="43" t="inlineStr">
        <is>
          <t>Media</t>
        </is>
      </c>
      <c r="O7" s="42" t="inlineStr">
        <is>
          <t>Public benchmark data and detailed solver/configuration setup; code distribution not clearly verified.</t>
        </is>
      </c>
      <c r="P7" s="34" t="inlineStr">
        <is>
          <t>RQ1; RQ2</t>
        </is>
      </c>
      <c r="Q7" s="34" t="inlineStr">
        <is>
          <t>Verified from accessible full paper</t>
        </is>
      </c>
      <c r="R7" s="34" t="inlineStr">
        <is>
          <t>https://doi.org/10.1007/s10479-018-2757-7 ; https://www.cs.uni-potsdam.de/wv/publications/DBLP_journals/anor/BanbaraIKOSSTW19.pdf</t>
        </is>
      </c>
    </row>
    <row r="8">
      <c r="A8" s="34" t="inlineStr">
        <is>
          <t>P015</t>
        </is>
      </c>
      <c r="B8" s="34" t="n">
        <v>2019</v>
      </c>
      <c r="C8" s="34" t="inlineStr">
        <is>
          <t>Bagger; Desaulniers; Desrosiers</t>
        </is>
      </c>
      <c r="D8" s="34" t="inlineStr">
        <is>
          <t>Daily course pattern formulation and valid inequalities for the curriculum-based course timetabling problem</t>
        </is>
      </c>
      <c r="E8" s="34" t="inlineStr">
        <is>
          <t>CORE_CB-CTT</t>
        </is>
      </c>
      <c r="F8" s="34" t="inlineStr">
        <is>
          <t>ITC-2007 real-world CB-CTT benchmark</t>
        </is>
      </c>
      <c r="G8" s="34" t="inlineStr">
        <is>
          <t>21</t>
        </is>
      </c>
      <c r="H8" s="34" t="inlineStr">
        <is>
          <t>Daily-course-pattern integer-programming relaxation + preprocessing + valid inequalities</t>
        </is>
      </c>
      <c r="I8" s="34" t="inlineStr">
        <is>
          <t>Lower bounds, proven optimality, optimality gap, runtime</t>
        </is>
      </c>
      <c r="J8" s="34" t="inlineStr">
        <is>
          <t>Best-known solutions and lower bounds from CB-CTT literature</t>
        </is>
      </c>
      <c r="K8" s="34" t="inlineStr">
        <is>
          <t>Proves best-known solutions optimal for 17/21 instances; improves lower bounds for 3 of the remaining 4.</t>
        </is>
      </c>
      <c r="L8" s="34" t="inlineStr">
        <is>
          <t>Not identified</t>
        </is>
      </c>
      <c r="M8" s="34" t="inlineStr">
        <is>
          <t>Yes — ITC-2007 public</t>
        </is>
      </c>
      <c r="N8" s="43" t="inlineStr">
        <is>
          <t>Media</t>
        </is>
      </c>
      <c r="O8" s="42" t="inlineStr">
        <is>
          <t>Public data and exact model; code not verified.</t>
        </is>
      </c>
      <c r="P8" s="34" t="inlineStr">
        <is>
          <t>RQ1; RQ2</t>
        </is>
      </c>
      <c r="Q8" s="34" t="inlineStr">
        <is>
          <t>Verified from abstract/full-text excerpts</t>
        </is>
      </c>
      <c r="R8" s="34" t="inlineStr">
        <is>
          <t>https://doi.org/10.1007/s10951-018-0582-0 ; https://orbit.dtu.dk/en/publications/daily-course-pattern-formulation-and-valid-inequalities-for-the-c/</t>
        </is>
      </c>
    </row>
    <row r="9">
      <c r="A9" s="34" t="inlineStr">
        <is>
          <t>P016</t>
        </is>
      </c>
      <c r="B9" s="34" t="n">
        <v>2019</v>
      </c>
      <c r="C9" s="34" t="inlineStr">
        <is>
          <t>Bagger; Sørensen; Stidsen</t>
        </is>
      </c>
      <c r="D9" s="34" t="inlineStr">
        <is>
          <t>Dantzig–Wolfe decomposition of the daily course pattern formulation for curriculum-based course timetabling</t>
        </is>
      </c>
      <c r="E9" s="34" t="inlineStr">
        <is>
          <t>CORE_CB-CTT</t>
        </is>
      </c>
      <c r="F9" s="34" t="inlineStr">
        <is>
          <t>Real-world CB-CTT benchmark instances; 20 selected instances in reported comparison</t>
        </is>
      </c>
      <c r="G9" s="34" t="inlineStr">
        <is>
          <t>20</t>
        </is>
      </c>
      <c r="H9" s="34" t="inlineStr">
        <is>
          <t>Dantzig–Wolfe reformulation + Column Generation + preprocessing/valid inequalities + Local Branching</t>
        </is>
      </c>
      <c r="I9" s="34" t="inlineStr">
        <is>
          <t>Lower bound, upper/lower gap, runtime</t>
        </is>
      </c>
      <c r="J9" s="34" t="inlineStr">
        <is>
          <t>Existing lower-bound methods and best-known bounds</t>
        </is>
      </c>
      <c r="K9" s="34" t="inlineStr">
        <is>
          <t>Improves the best-known lower bound for all 4 open instances; reduces average gap on those open instances from 24% to 11%.</t>
        </is>
      </c>
      <c r="L9" s="34" t="inlineStr">
        <is>
          <t>Not identified</t>
        </is>
      </c>
      <c r="M9" s="34" t="inlineStr">
        <is>
          <t>Yes — public benchmark data</t>
        </is>
      </c>
      <c r="N9" s="43" t="inlineStr">
        <is>
          <t>Media</t>
        </is>
      </c>
      <c r="O9" s="42" t="inlineStr">
        <is>
          <t>Public data and detailed exact algorithm; code not verified.</t>
        </is>
      </c>
      <c r="P9" s="34" t="inlineStr">
        <is>
          <t>RQ1; RQ2</t>
        </is>
      </c>
      <c r="Q9" s="34" t="inlineStr">
        <is>
          <t>Verified from publisher abstract</t>
        </is>
      </c>
      <c r="R9" s="34" t="inlineStr">
        <is>
          <t>https://doi.org/10.1016/j.ejor.2018.06.042</t>
        </is>
      </c>
    </row>
    <row r="10">
      <c r="A10" s="34" t="inlineStr">
        <is>
          <t>P017</t>
        </is>
      </c>
      <c r="B10" s="34" t="n">
        <v>2019</v>
      </c>
      <c r="C10" s="34" t="inlineStr">
        <is>
          <t>Bagger; Kristiansen; Sørensen; Stidsen</t>
        </is>
      </c>
      <c r="D10" s="34" t="inlineStr">
        <is>
          <t>Flow formulations for curriculum-based course timetabling</t>
        </is>
      </c>
      <c r="E10" s="34" t="inlineStr">
        <is>
          <t>CORE_CB-CTT</t>
        </is>
      </c>
      <c r="F10" s="34" t="inlineStr">
        <is>
          <t>ITC-2007 CB-CTT benchmark</t>
        </is>
      </c>
      <c r="G10" s="34" t="inlineStr">
        <is>
          <t>21</t>
        </is>
      </c>
      <c r="H10" s="34" t="inlineStr">
        <is>
          <t>Two MIP formulations exploiting minimum-cost-flow and multi-commodity-flow structures</t>
        </is>
      </c>
      <c r="I10" s="34" t="inlineStr">
        <is>
          <t>Lower bound, upper bound/objective value, runtime</t>
        </is>
      </c>
      <c r="J10" s="34" t="inlineStr">
        <is>
          <t>Other MIP formulations in CB-CTT literature</t>
        </is>
      </c>
      <c r="K10" s="34" t="inlineStr">
        <is>
          <t>Improves the best-known lower bound on one ITC-2007 instance; minimum-cost-flow formulation performs better on average for upper bounds than other MIP approaches.</t>
        </is>
      </c>
      <c r="L10" s="34" t="inlineStr">
        <is>
          <t>Not identified</t>
        </is>
      </c>
      <c r="M10" s="34" t="inlineStr">
        <is>
          <t>Yes — ITC-2007 public</t>
        </is>
      </c>
      <c r="N10" s="43" t="inlineStr">
        <is>
          <t>Media</t>
        </is>
      </c>
      <c r="O10" s="42" t="inlineStr">
        <is>
          <t>Public benchmark and precise formulations; code not verified.</t>
        </is>
      </c>
      <c r="P10" s="34" t="inlineStr">
        <is>
          <t>RQ1; RQ2</t>
        </is>
      </c>
      <c r="Q10" s="34" t="inlineStr">
        <is>
          <t>Verified from abstract</t>
        </is>
      </c>
      <c r="R10" s="34" t="inlineStr">
        <is>
          <t>https://doi.org/10.1007/s10479-018-3096-4</t>
        </is>
      </c>
    </row>
    <row r="11">
      <c r="A11" s="34" t="inlineStr">
        <is>
          <t>P004</t>
        </is>
      </c>
      <c r="B11" s="34" t="n">
        <v>2020</v>
      </c>
      <c r="C11" s="34" t="inlineStr">
        <is>
          <t>Caramia; Giordani</t>
        </is>
      </c>
      <c r="D11" s="34" t="inlineStr">
        <is>
          <t>Curriculum-Based Course Timetabling with Student Flow, Soft Constraints, and Smoothing Objectives: an Application to a Real Case Study</t>
        </is>
      </c>
      <c r="E11" s="34" t="inlineStr">
        <is>
          <t>CB-CTT_EXTENSION</t>
        </is>
      </c>
      <c r="F11" s="34" t="inlineStr">
        <is>
          <t>University of Rome Tor Vergata real case study</t>
        </is>
      </c>
      <c r="G11" s="34" t="inlineStr">
        <is>
          <t>1 institutional case study</t>
        </is>
      </c>
      <c r="H11" s="34" t="inlineStr">
        <is>
          <t>Multi-objective mixed-integer programming with student flow, soft constraints and smoothing objectives</t>
        </is>
      </c>
      <c r="I11" s="34" t="inlineStr">
        <is>
          <t>Weighted objective components / soft-constraint violations, student-flow/smoothing measures, feasibility</t>
        </is>
      </c>
      <c r="J11" s="34" t="inlineStr">
        <is>
          <t>Institutional/manual setting and alternative objective/model configurations</t>
        </is>
      </c>
      <c r="K11" s="34" t="inlineStr">
        <is>
          <t>Demonstrates that a multi-objective mathematical model can incorporate student flow and institutional soft constraints in a real CB-CTT-like setting.</t>
        </is>
      </c>
      <c r="L11" s="34" t="inlineStr">
        <is>
          <t>Not identified</t>
        </is>
      </c>
      <c r="M11" s="34" t="inlineStr">
        <is>
          <t>No public institutional dataset identified</t>
        </is>
      </c>
      <c r="N11" s="22" t="inlineStr">
        <is>
          <t>Baja</t>
        </is>
      </c>
      <c r="O11" s="42" t="inlineStr">
        <is>
          <t>Real institutional data are not verified public and no public code identified.</t>
        </is>
      </c>
      <c r="P11" s="34" t="inlineStr">
        <is>
          <t>RQ1; RQ2</t>
        </is>
      </c>
      <c r="Q11" s="34" t="inlineStr">
        <is>
          <t>Method/case verified; quantitative extraction limited by accessible evidence</t>
        </is>
      </c>
      <c r="R11" s="34" t="inlineStr">
        <is>
          <t>https://doi.org/10.1007/s43069-020-0013-x</t>
        </is>
      </c>
    </row>
    <row r="12">
      <c r="A12" s="34" t="inlineStr">
        <is>
          <t>P005</t>
        </is>
      </c>
      <c r="B12" s="34" t="n">
        <v>2021</v>
      </c>
      <c r="C12" s="34" t="inlineStr">
        <is>
          <t>de la Rosa-Rivera; Nunez-Varela; Ortiz-Bayliss; Terashima-Marín</t>
        </is>
      </c>
      <c r="D12" s="34" t="inlineStr">
        <is>
          <t>Algorithm selection for solving educational timetabling problems</t>
        </is>
      </c>
      <c r="E12" s="34" t="inlineStr">
        <is>
          <t>CORE_CB-CTT</t>
        </is>
      </c>
      <c r="F12" s="34" t="inlineStr">
        <is>
          <t>Large XHSTT-based CB-CTT instance collection; metaheuristics applied to non-optimal instances</t>
        </is>
      </c>
      <c r="G12" s="34" t="inlineStr">
        <is>
          <t>5,679 non-optimally-solved instances used for portfolio performance evaluation</t>
        </is>
      </c>
      <c r="H12" s="34" t="inlineStr">
        <is>
          <t>Per-instance algorithm selection: classifier + per-algorithm regression over four metaheuristics and multiple feature types</t>
        </is>
      </c>
      <c r="I12" s="34" t="inlineStr">
        <is>
          <t>Closed SBS-VBS gap; algorithm-performance variation; regression/classification performance (accuracy explicitly rejected as sole metric)</t>
        </is>
      </c>
      <c r="J12" s="34" t="inlineStr">
        <is>
          <t>Single Best Solver (SBS), Virtual Best Solver (VBS), four-metaheuristic portfolio</t>
        </is>
      </c>
      <c r="K12" s="34" t="inlineStr">
        <is>
          <t>Hybrid selector obtains closed SBS-VBS gap of 0.386; shows that low performance variation among portfolio algorithms limits selection gains.</t>
        </is>
      </c>
      <c r="L12" s="34" t="inlineStr">
        <is>
          <t>Not identified</t>
        </is>
      </c>
      <c r="M12" s="34" t="inlineStr">
        <is>
          <t>Partly — XHSTT benchmark public; exact processed meta-dataset/code not verified</t>
        </is>
      </c>
      <c r="N12" s="43" t="inlineStr">
        <is>
          <t>Media</t>
        </is>
      </c>
      <c r="O12" s="42" t="inlineStr">
        <is>
          <t>Large public benchmark foundation and detailed methodology; processed data/code availability not verified.</t>
        </is>
      </c>
      <c r="P12" s="34" t="inlineStr">
        <is>
          <t>RQ3</t>
        </is>
      </c>
      <c r="Q12" s="34" t="inlineStr">
        <is>
          <t>Verified from publisher full page</t>
        </is>
      </c>
      <c r="R12" s="34" t="inlineStr">
        <is>
          <t>https://doi.org/10.1016/j.eswa.2021.114694</t>
        </is>
      </c>
    </row>
    <row r="13">
      <c r="A13" s="34" t="inlineStr">
        <is>
          <t>P018</t>
        </is>
      </c>
      <c r="B13" s="34" t="n">
        <v>2021</v>
      </c>
      <c r="C13" s="34" t="inlineStr">
        <is>
          <t>Song; Chen; Xu; Wang; Song; Tang</t>
        </is>
      </c>
      <c r="D13" s="34" t="inlineStr">
        <is>
          <t>Competition-guided multi-neighborhood local search algorithm for the university course timetabling problem</t>
        </is>
      </c>
      <c r="E13" s="34" t="inlineStr">
        <is>
          <t>CORE_CB-CTT</t>
        </is>
      </c>
      <c r="F13" s="34" t="inlineStr">
        <is>
          <t>ITC-2007 Track 3 / comp</t>
        </is>
      </c>
      <c r="G13" s="34" t="inlineStr">
        <is>
          <t>21</t>
        </is>
      </c>
      <c r="H13" s="34" t="inlineStr">
        <is>
          <t>Competition-guided multi-neighborhood local search with six neighborhoods, SA-based local search and competition restart</t>
        </is>
      </c>
      <c r="I13" s="34" t="inlineStr">
        <is>
          <t>Best/average penalty, runtime/competition stop rule, statistical comparison</t>
        </is>
      </c>
      <c r="J13" s="34" t="inlineStr">
        <is>
          <t>6 state-of-the-art algorithms and best-known/lower-bound results</t>
        </is>
      </c>
      <c r="K13" s="34" t="inlineStr">
        <is>
          <t>Under original stop condition improves best-known average results for 16/21 instances; with relaxed stopping obtains 17 best results and 6 known lower bounds.</t>
        </is>
      </c>
      <c r="L13" s="34" t="inlineStr">
        <is>
          <t>Not identified</t>
        </is>
      </c>
      <c r="M13" s="34" t="inlineStr">
        <is>
          <t>Yes — ITC-2007 public</t>
        </is>
      </c>
      <c r="N13" s="43" t="inlineStr">
        <is>
          <t>Media</t>
        </is>
      </c>
      <c r="O13" s="42" t="inlineStr">
        <is>
          <t>Public data and detailed benchmark protocol; code not verified.</t>
        </is>
      </c>
      <c r="P13" s="34" t="inlineStr">
        <is>
          <t>RQ1; RQ3</t>
        </is>
      </c>
      <c r="Q13" s="34" t="inlineStr">
        <is>
          <t>Verified from publisher full page</t>
        </is>
      </c>
      <c r="R13" s="34" t="inlineStr">
        <is>
          <t>https://doi.org/10.1016/j.asoc.2021.107624</t>
        </is>
      </c>
    </row>
    <row r="14">
      <c r="A14" s="34" t="inlineStr">
        <is>
          <t>P019</t>
        </is>
      </c>
      <c r="B14" s="34" t="n">
        <v>2021</v>
      </c>
      <c r="C14" s="34" t="inlineStr">
        <is>
          <t>Akkan; Gülcü; Kuş</t>
        </is>
      </c>
      <c r="D14" s="34" t="inlineStr">
        <is>
          <t>Minimum penalty perturbation heuristics for curriculum-based timetables subject to multiple disruptions</t>
        </is>
      </c>
      <c r="E14" s="34" t="inlineStr">
        <is>
          <t>CB-CTT_EXTENSION</t>
        </is>
      </c>
      <c r="F14" s="34" t="inlineStr">
        <is>
          <t>ITC-2007 instances + randomly generated disruption scenarios (4 disruption types)</t>
        </is>
      </c>
      <c r="G14" s="34" t="inlineStr">
        <is>
          <t>21 base ITC instances × generated scenario samples; exact derived-scenario count not verified</t>
        </is>
      </c>
      <c r="H14" s="34" t="inlineStr">
        <is>
          <t>Minimum-cost constrained timetable perturbation using Simulated Annealing and several integer-programming repair algorithms</t>
        </is>
      </c>
      <c r="I14" s="34" t="inlineStr">
        <is>
          <t>Penalty degradation, structural difference/perturbation size, repair runtime, estimated robustness</t>
        </is>
      </c>
      <c r="J14" s="34" t="inlineStr">
        <is>
          <t>SA vs IP repair variants; prior disruption/robustness approaches</t>
        </is>
      </c>
      <c r="K14" s="34" t="inlineStr">
        <is>
          <t>Provides fast repair methods and a framework for estimating robustness under multiple disruption types while controlling timetable changes.</t>
        </is>
      </c>
      <c r="L14" s="34" t="inlineStr">
        <is>
          <t>Not identified</t>
        </is>
      </c>
      <c r="M14" s="34" t="inlineStr">
        <is>
          <t>Base data yes; generated disruption scenarios not verified as public</t>
        </is>
      </c>
      <c r="N14" s="43" t="inlineStr">
        <is>
          <t>Media-Baja</t>
        </is>
      </c>
      <c r="O14" s="42" t="inlineStr">
        <is>
          <t>Base benchmark public and generation procedure described, but code/scenario files not verified.</t>
        </is>
      </c>
      <c r="P14" s="34" t="inlineStr">
        <is>
          <t>RQ2; RQ3</t>
        </is>
      </c>
      <c r="Q14" s="34" t="inlineStr">
        <is>
          <t>Verified from publisher page</t>
        </is>
      </c>
      <c r="R14" s="34" t="inlineStr">
        <is>
          <t>https://doi.org/10.1016/j.cor.2021.105306</t>
        </is>
      </c>
    </row>
    <row r="15">
      <c r="A15" s="34" t="inlineStr">
        <is>
          <t>P006</t>
        </is>
      </c>
      <c r="B15" s="34" t="n">
        <v>2022</v>
      </c>
      <c r="C15" s="34" t="inlineStr">
        <is>
          <t>De Coster; Musliu; Schaerf; Schoisswohl; Smith-Miles</t>
        </is>
      </c>
      <c r="D15" s="34" t="inlineStr">
        <is>
          <t>Algorithm selection and instance space analysis for curriculum-based course timetabling</t>
        </is>
      </c>
      <c r="E15" s="34" t="inlineStr">
        <is>
          <t>CORE_CB-CTT</t>
        </is>
      </c>
      <c r="F15" s="34" t="inlineStr">
        <is>
          <t>ITC real-world + 61 new real-world CB-CTT instances + large synthetic instance set</t>
        </is>
      </c>
      <c r="G15" s="34" t="inlineStr">
        <is>
          <t>82 real-world instances (21 ITC + 61 new) + 6,942 artificial instances reported in associated work</t>
        </is>
      </c>
      <c r="H15" s="34" t="inlineStr">
        <is>
          <t>Instance Space Analysis + ML-based automated algorithm selection over state-of-the-art solvers</t>
        </is>
      </c>
      <c r="I15" s="34" t="inlineStr">
        <is>
          <t>Instance-space coverage, algorithm footprint/performance regions, algorithm-selection performance/classification measures</t>
        </is>
      </c>
      <c r="J15" s="34" t="inlineStr">
        <is>
          <t>Individual state-of-the-art exact/metaheuristic solvers; no-single-best-solver premise</t>
        </is>
      </c>
      <c r="K15" s="34" t="inlineStr">
        <is>
          <t>Maps complementary solver strengths across instance space, demonstrates value of algorithm selection, contributes new real-life instances and improved synthetic-instance generation.</t>
        </is>
      </c>
      <c r="L15" s="34" t="inlineStr">
        <is>
          <t>Not identified</t>
        </is>
      </c>
      <c r="M15" s="34" t="inlineStr">
        <is>
          <t>Yes/mostly — new real-world and artificial benchmark collections were contributed for research use</t>
        </is>
      </c>
      <c r="N15" s="43" t="inlineStr">
        <is>
          <t>Media-Alta</t>
        </is>
      </c>
      <c r="O15" s="42" t="inlineStr">
        <is>
          <t>Large shared benchmark contribution and detailed instance-space methodology; public solver/config code not verified.</t>
        </is>
      </c>
      <c r="P15" s="34" t="inlineStr">
        <is>
          <t>RQ2; RQ3</t>
        </is>
      </c>
      <c r="Q15" s="34" t="inlineStr">
        <is>
          <t>Verified from article records and related thesis describing counts</t>
        </is>
      </c>
      <c r="R15" s="34" t="inlineStr">
        <is>
          <t>https://doi.org/10.1007/s10951-021-00701-x ; https://pepite-depot.univ-lille.fr/LIBRE/EDMADIS/2023/2023ULILB040.pdf</t>
        </is>
      </c>
    </row>
    <row r="16">
      <c r="A16" s="34" t="inlineStr">
        <is>
          <t>P020</t>
        </is>
      </c>
      <c r="B16" s="34" t="n">
        <v>2023</v>
      </c>
      <c r="C16" s="34" t="inlineStr">
        <is>
          <t>Feutrier; Veerapen; Kessaci</t>
        </is>
      </c>
      <c r="D16" s="34" t="inlineStr">
        <is>
          <t>When Simpler is Better: Automated Configuration of a University Timetabling Solver</t>
        </is>
      </c>
      <c r="E16" s="34" t="inlineStr">
        <is>
          <t>CORE_CB-CTT</t>
        </is>
      </c>
      <c r="F16" s="34" t="inlineStr">
        <is>
          <t>CB-CTT benchmarks used to configure/deconstruct a leading hybrid solver (ITC benchmark central; broader benchmark usage in associated work)</t>
        </is>
      </c>
      <c r="G16" s="34" t="inlineStr">
        <is>
          <t>Exact experimental subset not verified from accessible conference page</t>
        </is>
      </c>
      <c r="H16" s="34" t="inlineStr">
        <is>
          <t>Automatic algorithm configuration with irace over decomposed hybrid-solver components + ablation analysis</t>
        </is>
      </c>
      <c r="I16" s="34" t="inlineStr">
        <is>
          <t>Objective/solver performance after configuration, configuration quality, parameter importance/ablation</t>
        </is>
      </c>
      <c r="J16" s="34" t="inlineStr">
        <is>
          <t>Original state-of-the-art hybrid timetabling solver</t>
        </is>
      </c>
      <c r="K16" s="34" t="inlineStr">
        <is>
          <t>Finds configurations that outperform the original hybrid method; notably, better configurations are simpler and use fewer algorithmic components.</t>
        </is>
      </c>
      <c r="L16" s="34" t="inlineStr">
        <is>
          <t>Not identified</t>
        </is>
      </c>
      <c r="M16" s="34" t="inlineStr">
        <is>
          <t>Yes — standard CB-CTT benchmarks; exact experiment package not verified</t>
        </is>
      </c>
      <c r="N16" s="43" t="inlineStr">
        <is>
          <t>Media</t>
        </is>
      </c>
      <c r="O16" s="42" t="inlineStr">
        <is>
          <t>Standard data and method/configurator specified; code and exact training/test split not verified.</t>
        </is>
      </c>
      <c r="P16" s="34" t="inlineStr">
        <is>
          <t>RQ3</t>
        </is>
      </c>
      <c r="Q16" s="34" t="inlineStr">
        <is>
          <t>Verified from IEEE abstract</t>
        </is>
      </c>
      <c r="R16" s="34" t="inlineStr">
        <is>
          <t>https://doi.org/10.1109/CEC53210.2023.10253986</t>
        </is>
      </c>
    </row>
    <row r="17">
      <c r="A17" s="34" t="inlineStr">
        <is>
          <t>P008</t>
        </is>
      </c>
      <c r="B17" s="34" t="n">
        <v>2025</v>
      </c>
      <c r="C17" s="34" t="inlineStr">
        <is>
          <t>Steiner; Pferschy; Schaerf</t>
        </is>
      </c>
      <c r="D17" s="34" t="inlineStr">
        <is>
          <t>Curriculum-based university course timetabling considering individual course of studies</t>
        </is>
      </c>
      <c r="E17" s="34" t="inlineStr">
        <is>
          <t>CB-CTT_EXTENSION</t>
        </is>
      </c>
      <c r="F17" s="34" t="inlineStr">
        <is>
          <t>University of Graz teacher-education real case</t>
        </is>
      </c>
      <c r="G17" s="34" t="inlineStr">
        <is>
          <t>1 real case: 1,905 sections, 767 courses, 501 student quanta; &gt;2,000 students in computational results</t>
        </is>
      </c>
      <c r="H17" s="34" t="inlineStr">
        <is>
          <t>Three-stage optimization: assignment models + ILP timetabling + student section allocation</t>
        </is>
      </c>
      <c r="I17" s="34" t="inlineStr">
        <is>
          <t>Objective components (isolated lectures, subject homogeneity, max concurrent courses), allocated ECTS, fairness/minimum assignment, feasibility/capacity utilization</t>
        </is>
      </c>
      <c r="J17" s="34" t="inlineStr">
        <is>
          <t>Historically evolved timetable/manual planning; alternative parameter/objective configurations</t>
        </is>
      </c>
      <c r="K17" s="34" t="inlineStr">
        <is>
          <t>Produces conflict-free allocations for a large part of projected student body; base case reports 1,180 isolated lectures, 1,640 additional-subject counts and max 24 simultaneous courses; later allocation achieves 42,458.5 ECTS without minimum-assignment restriction.</t>
        </is>
      </c>
      <c r="L17" s="34" t="inlineStr">
        <is>
          <t>Not identified</t>
        </is>
      </c>
      <c r="M17" s="34" t="inlineStr">
        <is>
          <t>No — institutional data not identified as public</t>
        </is>
      </c>
      <c r="N17" s="22" t="inlineStr">
        <is>
          <t>Baja</t>
        </is>
      </c>
      <c r="O17" s="42" t="inlineStr">
        <is>
          <t>Open paper but private institutional data and no public code identified.</t>
        </is>
      </c>
      <c r="P17" s="34" t="inlineStr">
        <is>
          <t>RQ2; RQ3</t>
        </is>
      </c>
      <c r="Q17" s="34" t="inlineStr">
        <is>
          <t>Verified from open full article</t>
        </is>
      </c>
      <c r="R17" s="34" t="inlineStr">
        <is>
          <t>https://doi.org/10.1007/s10100-024-00923-2</t>
        </is>
      </c>
    </row>
    <row r="18">
      <c r="A18" s="34" t="inlineStr">
        <is>
          <t>P009</t>
        </is>
      </c>
      <c r="B18" s="34" t="n">
        <v>2025</v>
      </c>
      <c r="C18" s="34" t="inlineStr">
        <is>
          <t>Feutrier; Veerapen; Kessaci</t>
        </is>
      </c>
      <c r="D18" s="34" t="inlineStr">
        <is>
          <t>Generalizing the Structure of a University Timetabling Solver for Flexible Automatic Algorithm Configuration</t>
        </is>
      </c>
      <c r="E18" s="34" t="inlineStr">
        <is>
          <t>CORE_CB-CTT</t>
        </is>
      </c>
      <c r="F18" s="34" t="inlineStr">
        <is>
          <t>CB-CTT benchmarks; builds on ITC/new real-world/artificial benchmark ecosystem</t>
        </is>
      </c>
      <c r="G18" s="34" t="inlineStr">
        <is>
          <t>Exact subset not reported on accessible 4-page companion abstract</t>
        </is>
      </c>
      <c r="H18" s="34" t="inlineStr">
        <is>
          <t>Flexible Iterated Local Search building-block grammar + irace automatic configuration</t>
        </is>
      </c>
      <c r="I18" s="34" t="inlineStr">
        <is>
          <t>Configured solver objective performance, parameter importance, configuration/component analysis</t>
        </is>
      </c>
      <c r="J18" s="34" t="inlineStr">
        <is>
          <t>Original hybrid metaheuristic and less-flexible prior configuration structure</t>
        </is>
      </c>
      <c r="K18" s="34" t="inlineStr">
        <is>
          <t>Flexible reordering/chaining/looping of solver building blocks lets irace discover hybrid configurations that outperform the original method; analysis identifies decisive parameters.</t>
        </is>
      </c>
      <c r="L18" s="34" t="inlineStr">
        <is>
          <t>Not identified</t>
        </is>
      </c>
      <c r="M18" s="34" t="inlineStr">
        <is>
          <t>Yes — standard/public CB-CTT benchmark ecosystem; exact package not verified</t>
        </is>
      </c>
      <c r="N18" s="43" t="inlineStr">
        <is>
          <t>Media</t>
        </is>
      </c>
      <c r="O18" s="42" t="inlineStr">
        <is>
          <t>Public benchmarks and clear configurator; code/exact experimental subset not verified.</t>
        </is>
      </c>
      <c r="P18" s="34" t="inlineStr">
        <is>
          <t>RQ3</t>
        </is>
      </c>
      <c r="Q18" s="34" t="inlineStr">
        <is>
          <t>Verified from GECCO proceedings page</t>
        </is>
      </c>
      <c r="R18" s="34" t="inlineStr">
        <is>
          <t>https://www.sigevo.org/gecco-2025/toc-companion.html ; https://dblp.org/rec/conf/gecco/FeutrierVK25</t>
        </is>
      </c>
    </row>
    <row r="19">
      <c r="A19" s="34" t="inlineStr">
        <is>
          <t>P010</t>
        </is>
      </c>
      <c r="B19" s="34" t="n">
        <v>2026</v>
      </c>
      <c r="C19" s="34" t="inlineStr">
        <is>
          <t>Ceschia; Da Ros; Di Gaspero; Schaerf</t>
        </is>
      </c>
      <c r="D19" s="34" t="inlineStr">
        <is>
          <t>Revisiting local search for Curriculum-Based Course Timetabling</t>
        </is>
      </c>
      <c r="E19" s="34" t="inlineStr">
        <is>
          <t>CORE_CB-CTT</t>
        </is>
      </c>
      <c r="F19" s="34" t="inlineStr">
        <is>
          <t>7 CB-CTT datasets: comp, test, DDS, Udine, EasyAcademy, U. Erlangen, U. Prishtina; synthetic training from De Coster et al.</t>
        </is>
      </c>
      <c r="G19" s="34" t="inlineStr">
        <is>
          <t>78 total real benchmark instances; 40 retained for validation; 996 synthetic training instances; comp: 19/21 used</t>
        </is>
      </c>
      <c r="H19" s="34" t="inlineStr">
        <is>
          <t>Probabilistically biased Simulated Annealing centered on LectureKick + screened neighborhood biases; irace tuning</t>
        </is>
      </c>
      <c r="I19" s="34" t="inlineStr">
        <is>
          <t>Objective/penalty value, best/average results, ITC-calibrated runtime/iteration budget, comparison with local-search and overall SOTA</t>
        </is>
      </c>
      <c r="J19" s="34" t="inlineStr">
        <is>
          <t>Previous strong local-search methods and current state-of-the-art methods under ITC-2007 time limits</t>
        </is>
      </c>
      <c r="K19" s="34" t="inlineStr">
        <is>
          <t>Clearly outperforms previously proposed local-search methods and is competitive with, and sometimes better than, overall state of the art; consolidates/cleans benchmark sets.</t>
        </is>
      </c>
      <c r="L19" s="34" t="inlineStr">
        <is>
          <t>Yes — public GitHub repository</t>
        </is>
      </c>
      <c r="M19" s="34" t="inlineStr">
        <is>
          <t>Yes — public instances and best solutions via OptHub</t>
        </is>
      </c>
      <c r="N19" s="21" t="inlineStr">
        <is>
          <t>Alta</t>
        </is>
      </c>
      <c r="O19" s="42" t="inlineStr">
        <is>
          <t>Open paper + public C++ code + public benchmarks/solutions + hardware/compiler/time calibration and tuning protocol specified.</t>
        </is>
      </c>
      <c r="P19" s="34" t="inlineStr">
        <is>
          <t>RQ1; RQ2; RQ3; RQ4</t>
        </is>
      </c>
      <c r="Q19" s="34" t="inlineStr">
        <is>
          <t>Verified from open full publisher page</t>
        </is>
      </c>
      <c r="R19" s="34" t="inlineStr">
        <is>
          <t>https://doi.org/10.1016/j.cor.2026.107621 ; https://github.com/iolab-uniud/cb-ctt</t>
        </is>
      </c>
    </row>
    <row r="20">
      <c r="A20" s="34" t="inlineStr">
        <is>
          <t>P028</t>
        </is>
      </c>
      <c r="B20" s="34" t="n">
        <v>2015</v>
      </c>
      <c r="C20" s="34" t="inlineStr">
        <is>
          <t>Juliana Wahid; Naimah Mohd Hussin</t>
        </is>
      </c>
      <c r="D20" s="34" t="inlineStr">
        <is>
          <t>Solving Curriculum Based Course Timetabling by Hybridizing Local Search Based Method within Harmony Search Algorithm</t>
        </is>
      </c>
      <c r="E20" s="34" t="inlineStr">
        <is>
          <t>CORE_CB-CTT</t>
        </is>
      </c>
      <c r="F20" s="34" t="inlineStr">
        <is>
          <t>ITC-2007 curriculum-based datasets</t>
        </is>
      </c>
      <c r="G20" s="34" t="inlineStr">
        <is>
          <t>ITC-2007 Track 3 set; exact number used in experiments not explicitly verified in accessible abstract</t>
        </is>
      </c>
      <c r="H20" s="34" t="inlineStr">
        <is>
          <t>Harmony Search hybridized with Great Deluge in three operator-integration setups</t>
        </is>
      </c>
      <c r="I20" s="34" t="inlineStr">
        <is>
          <t>Penalty/objective value across HS/GD setups and parameter settings</t>
        </is>
      </c>
      <c r="J20" s="34" t="inlineStr">
        <is>
          <t>Other published CB-CTT techniques from literature</t>
        </is>
      </c>
      <c r="K20" s="34" t="inlineStr">
        <is>
          <t>Produces comparable solutions and lower penalties on several instances versus compared techniques.</t>
        </is>
      </c>
      <c r="L20" s="34" t="inlineStr">
        <is>
          <t>Not identified</t>
        </is>
      </c>
      <c r="M20" s="34" t="inlineStr">
        <is>
          <t>Yes — ITC-2007 public</t>
        </is>
      </c>
      <c r="N20" s="43" t="inlineStr">
        <is>
          <t>Media-Baja</t>
        </is>
      </c>
      <c r="O20" s="42" t="inlineStr">
        <is>
          <t>Public benchmark and algorithm description; experiment details/code only partially accessible.</t>
        </is>
      </c>
      <c r="P20" s="34" t="inlineStr">
        <is>
          <t>RQ1; RQ2; RQ3</t>
        </is>
      </c>
      <c r="Q20" s="34" t="inlineStr">
        <is>
          <t>Verified from abstract</t>
        </is>
      </c>
      <c r="R20" s="34" t="inlineStr">
        <is>
          <t>https://doi.org/10.1007/978-981-287-936-3_14</t>
        </is>
      </c>
    </row>
    <row r="21">
      <c r="A21" s="34" t="inlineStr">
        <is>
          <t>P029</t>
        </is>
      </c>
      <c r="B21" s="34" t="n">
        <v>2016</v>
      </c>
      <c r="C21" s="34" t="inlineStr">
        <is>
          <t>Patrick Kenekayoro; Godswill Zipamone</t>
        </is>
      </c>
      <c r="D21" s="34" t="inlineStr">
        <is>
          <t>Greedy Ants Colony Optimization Strategy for Solving the Curriculum Based University Course Timetabling Problem</t>
        </is>
      </c>
      <c r="E21" s="34" t="inlineStr">
        <is>
          <t>CORE_CB-CTT</t>
        </is>
      </c>
      <c r="F21" s="34" t="inlineStr">
        <is>
          <t>ITC-2007 Track 3 CB-CTT</t>
        </is>
      </c>
      <c r="G21" s="34" t="inlineStr">
        <is>
          <t>ITC-2007 dataset (21 standard instances expected; paper states all instances, exact count not repeated in abstract)</t>
        </is>
      </c>
      <c r="H21" s="34" t="inlineStr">
        <is>
          <t>Greedy Ant System / Ant Colony Optimization</t>
        </is>
      </c>
      <c r="I21" s="34" t="inlineStr">
        <is>
          <t>Feasibility and penalty/objective quality relative to published results</t>
        </is>
      </c>
      <c r="J21" s="34" t="inlineStr">
        <is>
          <t>Published CB-CTT approaches / best-known solutions</t>
        </is>
      </c>
      <c r="K21" s="34" t="inlineStr">
        <is>
          <t>Finds feasible solutions for all tested ITC instances and near-optimal solutions on some; better than some published methods but below the best approaches.</t>
        </is>
      </c>
      <c r="L21" s="34" t="inlineStr">
        <is>
          <t>Not identified</t>
        </is>
      </c>
      <c r="M21" s="34" t="inlineStr">
        <is>
          <t>Yes — ITC-2007 public</t>
        </is>
      </c>
      <c r="N21" s="43" t="inlineStr">
        <is>
          <t>Media-Baja</t>
        </is>
      </c>
      <c r="O21" s="42" t="inlineStr">
        <is>
          <t>Public data and open article; no public code/config package identified.</t>
        </is>
      </c>
      <c r="P21" s="34" t="inlineStr">
        <is>
          <t>RQ1; RQ2; RQ3</t>
        </is>
      </c>
      <c r="Q21" s="34" t="inlineStr">
        <is>
          <t>Verified from open article/abstract</t>
        </is>
      </c>
      <c r="R21" s="34" t="inlineStr">
        <is>
          <t>https://doi.org/10.9734/BJMCS/2016/23143 ; https://arxiv.org/abs/1602.04933</t>
        </is>
      </c>
    </row>
    <row r="22">
      <c r="A22" s="34" t="inlineStr">
        <is>
          <t>P035</t>
        </is>
      </c>
      <c r="B22" s="34" t="n">
        <v>2016</v>
      </c>
      <c r="C22" s="34" t="inlineStr">
        <is>
          <t>Jorge A. Soria-Alcaraz; Ender Özcan; Jerry Swan; Graham Kendall; Martin Carpio</t>
        </is>
      </c>
      <c r="D22" s="34" t="inlineStr">
        <is>
          <t>Iterated local search using an add and delete hyper-heuristic for university course timetabling</t>
        </is>
      </c>
      <c r="E22" s="34" t="inlineStr">
        <is>
          <t>CORE_CB-CTT</t>
        </is>
      </c>
      <c r="F22" s="34" t="inlineStr">
        <is>
          <t>ITC-2007 Tracks 2 and 3; CB-CTT extraction uses Track 3</t>
        </is>
      </c>
      <c r="G22" s="34" t="inlineStr">
        <is>
          <t>21 CB-CTT Track-3 instances (+ Track-2 instances for cross-domain generality)</t>
        </is>
      </c>
      <c r="H22" s="34" t="inlineStr">
        <is>
          <t>Iterated Local Search + add/delete-list hyper-heuristic generating low-level heuristics</t>
        </is>
      </c>
      <c r="I22" s="34" t="inlineStr">
        <is>
          <t>Penalty/objective quality; best-known solution comparisons; cross-domain generality</t>
        </is>
      </c>
      <c r="J22" s="34" t="inlineStr">
        <is>
          <t>Existing approaches on ITC-2007 Tracks 2 and 3</t>
        </is>
      </c>
      <c r="K22" s="34" t="inlineStr">
        <is>
          <t>Produces new best solutions on some instances and demonstrates one hyper-heuristic framework can generalize across PE-CTT and CB-CTT without changing the underlying framework.</t>
        </is>
      </c>
      <c r="L22" s="34" t="inlineStr">
        <is>
          <t>Not identified</t>
        </is>
      </c>
      <c r="M22" s="34" t="inlineStr">
        <is>
          <t>Yes — ITC-2007 public</t>
        </is>
      </c>
      <c r="N22" s="43" t="inlineStr">
        <is>
          <t>Media</t>
        </is>
      </c>
      <c r="O22" s="42" t="inlineStr">
        <is>
          <t>Public benchmark and detailed algorithm; code not verified.</t>
        </is>
      </c>
      <c r="P22" s="34" t="inlineStr">
        <is>
          <t>RQ1; RQ2; RQ3</t>
        </is>
      </c>
      <c r="Q22" s="34" t="inlineStr">
        <is>
          <t>Verified from publisher full page</t>
        </is>
      </c>
      <c r="R22" s="34" t="inlineStr">
        <is>
          <t>https://doi.org/10.1016/j.asoc.2015.11.043</t>
        </is>
      </c>
    </row>
    <row r="23">
      <c r="A23" s="34" t="inlineStr">
        <is>
          <t>P036</t>
        </is>
      </c>
      <c r="B23" s="34" t="n">
        <v>2016</v>
      </c>
      <c r="C23" s="34" t="inlineStr">
        <is>
          <t>Ahmed H. Yousef; Cherif Salama; Mohammad Y. Jad; Tarek El-Gafy; Mona Matar; Suzanne S. Habashi</t>
        </is>
      </c>
      <c r="D23" s="34" t="inlineStr">
        <is>
          <t>A GPU Based Genetic Algorithm Solution for the Timetabling Problem</t>
        </is>
      </c>
      <c r="E23" s="34" t="inlineStr">
        <is>
          <t>CORE_CB-CTT</t>
        </is>
      </c>
      <c r="F23" s="34" t="inlineStr">
        <is>
          <t>ITC-2007 comp07 + Erlangen2014_1 for GPU acceleration study</t>
        </is>
      </c>
      <c r="G23" s="34" t="inlineStr">
        <is>
          <t>2 focal benchmark instances for GPU speed-up experiments</t>
        </is>
      </c>
      <c r="H23" s="34" t="inlineStr">
        <is>
          <t>Genetic Algorithm + local search with GPU/CUDA acceleration</t>
        </is>
      </c>
      <c r="I23" s="34" t="inlineStr">
        <is>
          <t>Fitness/objective evaluation, execution time, GPU speed-up, GPU block-size sensitivity</t>
        </is>
      </c>
      <c r="J23" s="34" t="inlineStr">
        <is>
          <t>CPU implementation of the fitness/GA computation</t>
        </is>
      </c>
      <c r="K23" s="34" t="inlineStr">
        <is>
          <t>Demonstrates substantial GPU acceleration potential; best GPU performance occurs at block sizes aligned with GPU warp multiples; evaluates both comp07 and a much larger Erlangen instance.</t>
        </is>
      </c>
      <c r="L23" s="34" t="inlineStr">
        <is>
          <t>Not identified</t>
        </is>
      </c>
      <c r="M23" s="34" t="inlineStr">
        <is>
          <t>Yes — benchmark instances public/available in literature</t>
        </is>
      </c>
      <c r="N23" s="43" t="inlineStr">
        <is>
          <t>Media-Baja</t>
        </is>
      </c>
      <c r="O23" s="42" t="inlineStr">
        <is>
          <t>Benchmark details and hardware experiments reported; code not verified.</t>
        </is>
      </c>
      <c r="P23" s="34" t="inlineStr">
        <is>
          <t>RQ1; RQ2; RQ3</t>
        </is>
      </c>
      <c r="Q23" s="34" t="inlineStr">
        <is>
          <t>Verified from accessible paper excerpt</t>
        </is>
      </c>
      <c r="R23" s="34" t="inlineStr">
        <is>
          <t>https://doi.org/10.1109/ICCES.2016.7821982</t>
        </is>
      </c>
    </row>
    <row r="24">
      <c r="A24" s="34" t="inlineStr">
        <is>
          <t>P037</t>
        </is>
      </c>
      <c r="B24" s="34" t="n">
        <v>2018</v>
      </c>
      <c r="C24" s="34" t="inlineStr">
        <is>
          <t>Junrie B. Matias; Arnel C. Fajardo; Ruji P. Medina</t>
        </is>
      </c>
      <c r="D24" s="34" t="inlineStr">
        <is>
          <t>Examining Genetic Algorithm with Guided Search and Self-Adaptive Neighborhood Strategies for Curriculum-Based Course Timetable Problem</t>
        </is>
      </c>
      <c r="E24" s="34" t="inlineStr">
        <is>
          <t>CORE_CB-CTT</t>
        </is>
      </c>
      <c r="F24" s="34" t="inlineStr">
        <is>
          <t>CB-CTT benchmark</t>
        </is>
      </c>
      <c r="G24" s="34" t="inlineStr">
        <is>
          <t>Exact number of instances not verified from accessible full-text evidence</t>
        </is>
      </c>
      <c r="H24" s="34" t="inlineStr">
        <is>
          <t>Genetic Algorithm + guided search + self-adaptive neighborhood selection + repair operator</t>
        </is>
      </c>
      <c r="I24" s="34" t="inlineStr">
        <is>
          <t>Penalty/objective quality and comparison with literature best/near-best solutions</t>
        </is>
      </c>
      <c r="J24" s="34" t="inlineStr">
        <is>
          <t>Best/competitive works in CB-CTT literature</t>
        </is>
      </c>
      <c r="K24" s="34" t="inlineStr">
        <is>
          <t>Preliminary results report optimal or near-optimal solutions comparable to best published work; emphasizes adaptive neighborhood selection.</t>
        </is>
      </c>
      <c r="L24" s="34" t="inlineStr">
        <is>
          <t>Not identified</t>
        </is>
      </c>
      <c r="M24" s="34" t="inlineStr">
        <is>
          <t>Benchmark data likely public; exact test set not verified</t>
        </is>
      </c>
      <c r="N24" s="22" t="inlineStr">
        <is>
          <t>Baja-Media</t>
        </is>
      </c>
      <c r="O24" s="42" t="inlineStr">
        <is>
          <t>Method and DOI verified, but accessible evidence does not expose full experimental protocol or code.</t>
        </is>
      </c>
      <c r="P24" s="34" t="inlineStr">
        <is>
          <t>RQ1; RQ3</t>
        </is>
      </c>
      <c r="Q24" s="34" t="inlineStr">
        <is>
          <t>Verified from bibliographic summary/abstract only</t>
        </is>
      </c>
      <c r="R24" s="34" t="inlineStr">
        <is>
          <t>https://doi.org/10.1109/ICACCAF.2018.8776728</t>
        </is>
      </c>
    </row>
    <row r="25">
      <c r="A25" s="34" t="inlineStr">
        <is>
          <t>P038</t>
        </is>
      </c>
      <c r="B25" s="34" t="n">
        <v>2026</v>
      </c>
      <c r="C25" s="34" t="inlineStr">
        <is>
          <t>Tam Minh Nguyen</t>
        </is>
      </c>
      <c r="D25" s="34" t="inlineStr">
        <is>
          <t>Adaptive Penalty-Guided VND with CP-SAT for Curriculum-Based Course Timetabling</t>
        </is>
      </c>
      <c r="E25" s="34" t="inlineStr">
        <is>
          <t>CORE_CB-CTT</t>
        </is>
      </c>
      <c r="F25" s="34" t="inlineStr">
        <is>
          <t>ITC-2007 Track 3</t>
        </is>
      </c>
      <c r="G25" s="34" t="inlineStr">
        <is>
          <t>Benchmark instances; exact number executed not explicitly verified from accessible text</t>
        </is>
      </c>
      <c r="H25" s="34" t="inlineStr">
        <is>
          <t>CP-SAT feasible initialization + adaptive penalty-guided VND; single-event swaps + Kempe chains + min-cost max-flow room assignment</t>
        </is>
      </c>
      <c r="I25" s="34" t="inlineStr">
        <is>
          <t>Solution penalty/quality and runtime</t>
        </is>
      </c>
      <c r="J25" s="34" t="inlineStr">
        <is>
          <t>Existing CB-CTT methods / known benchmark results</t>
        </is>
      </c>
      <c r="K25" s="34" t="inlineStr">
        <is>
          <t>Reports competitive solution quality within reasonable runtime; positions CP-SAT + adaptive VND as an effective hybrid for large CB-CTT instances.</t>
        </is>
      </c>
      <c r="L25" s="34" t="inlineStr">
        <is>
          <t>Not identified</t>
        </is>
      </c>
      <c r="M25" s="34" t="inlineStr">
        <is>
          <t>Yes — ITC-2007 public</t>
        </is>
      </c>
      <c r="N25" s="43" t="inlineStr">
        <is>
          <t>Media-Baja</t>
        </is>
      </c>
      <c r="O25" s="42" t="inlineStr">
        <is>
          <t>Open proceedings paper and public benchmark; code not identified and experiment subset/details limited.</t>
        </is>
      </c>
      <c r="P25" s="34" t="inlineStr">
        <is>
          <t>RQ1; RQ2; RQ3; RQ4</t>
        </is>
      </c>
      <c r="Q25" s="34" t="inlineStr">
        <is>
          <t>Verified from SciTePress paper/metadata</t>
        </is>
      </c>
      <c r="R25" s="34" t="inlineStr">
        <is>
          <t>https://doi.org/10.5220/0014437700004052 ; https://www.scitepress.org/PublishedPapers/2026/144377/</t>
        </is>
      </c>
    </row>
    <row r="26">
      <c r="A26" s="34" t="inlineStr">
        <is>
          <t>P039</t>
        </is>
      </c>
      <c r="B26" s="34" t="n">
        <v>2023</v>
      </c>
      <c r="C26" s="34" t="inlineStr">
        <is>
          <t>Rakesh P. Badoni; Jayakrushna Sahoo; Shwetabh Srivastava; Mukesh Mann; D. K. Gupta; Swati Verma; Predrag S. Stanimirović; Lev A. Kazakovtsev; Darjan Karabašević</t>
        </is>
      </c>
      <c r="D26" s="34" t="inlineStr">
        <is>
          <t>An Exploration and Exploitation-Based Metaheuristic Approach for University Course Timetabling Problems</t>
        </is>
      </c>
      <c r="E26" s="34" t="inlineStr">
        <is>
          <t>CORE_CB-CTT</t>
        </is>
      </c>
      <c r="F26" s="34" t="inlineStr">
        <is>
          <t>ITC-2007 Track 3 CB-CTT + Socha PE-CTT</t>
        </is>
      </c>
      <c r="G26" s="34" t="inlineStr">
        <is>
          <t>21 CB-CTT + 11 PE-CTT = 32 total benchmark instances</t>
        </is>
      </c>
      <c r="H26" s="34" t="inlineStr">
        <is>
          <t>GAILS: Genetic Algorithm for exploration + Iterated Local Search for exploitation</t>
        </is>
      </c>
      <c r="I26" s="34" t="inlineStr">
        <is>
          <t>f_min, f_max, f_avg, standard deviation, runtime; ranking and t-tests</t>
        </is>
      </c>
      <c r="J26" s="34" t="inlineStr">
        <is>
          <t>Large set of existing algorithms (20 comparison methods reported for CB-CTT table)</t>
        </is>
      </c>
      <c r="K26" s="34" t="inlineStr">
        <is>
          <t>GAILS outperforms compared algorithms on a majority of instances statistically; on CB-CTT it is evaluated across all 21 comp instances with detailed best/average/time results.</t>
        </is>
      </c>
      <c r="L26" s="34" t="inlineStr">
        <is>
          <t>Not identified</t>
        </is>
      </c>
      <c r="M26" s="34" t="inlineStr">
        <is>
          <t>Yes — ITC-2007 and Socha benchmarks public</t>
        </is>
      </c>
      <c r="N26" s="43" t="inlineStr">
        <is>
          <t>Media</t>
        </is>
      </c>
      <c r="O26" s="42" t="inlineStr">
        <is>
          <t>Open article with full tables/statistics and public datasets; code not identified.</t>
        </is>
      </c>
      <c r="P26" s="34" t="inlineStr">
        <is>
          <t>RQ1; RQ2; RQ3</t>
        </is>
      </c>
      <c r="Q26" s="34" t="inlineStr">
        <is>
          <t>Verified from open full article</t>
        </is>
      </c>
      <c r="R26" s="34" t="inlineStr">
        <is>
          <t>https://doi.org/10.3390/axioms12080720</t>
        </is>
      </c>
    </row>
  </sheetData>
  <autoFilter ref="A1:R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40" t="inlineStr">
        <is>
          <t>Field</t>
        </is>
      </c>
      <c r="B1" s="40" t="inlineStr">
        <is>
          <t>Definition / extraction rule</t>
        </is>
      </c>
    </row>
    <row r="2">
      <c r="A2" s="27" t="inlineStr">
        <is>
          <t>Benchmark_or_Dataset</t>
        </is>
      </c>
      <c r="B2" s="27" t="inlineStr">
        <is>
          <t>Named benchmark or institutional dataset actually used in the study; distinguishes ITC-2007 from broader UCTP/real-case data.</t>
        </is>
      </c>
    </row>
    <row r="3">
      <c r="A3" s="27" t="inlineStr">
        <is>
          <t>N_Instances_or_Scale</t>
        </is>
      </c>
      <c r="B3" s="27" t="inlineStr">
        <is>
          <t>Exact number where verified; otherwise a transparent scale statement or “not verified”.</t>
        </is>
      </c>
    </row>
    <row r="4">
      <c r="A4" s="27" t="inlineStr">
        <is>
          <t>Method</t>
        </is>
      </c>
      <c r="B4" s="27" t="inlineStr">
        <is>
          <t>Primary algorithmic approach as implemented/evaluated.</t>
        </is>
      </c>
    </row>
    <row r="5">
      <c r="A5" s="27" t="inlineStr">
        <is>
          <t>Metrics</t>
        </is>
      </c>
      <c r="B5" s="27" t="inlineStr">
        <is>
          <t>Measures used to assess solution quality, runtime, bounds, robustness or selection/configuration performance.</t>
        </is>
      </c>
    </row>
    <row r="6">
      <c r="A6" s="27" t="inlineStr">
        <is>
          <t>Baseline_or_Comparator</t>
        </is>
      </c>
      <c r="B6" s="27" t="inlineStr">
        <is>
          <t>Algorithms, bounds, manual plans, or solver variants used as explicit comparison.</t>
        </is>
      </c>
    </row>
    <row r="7">
      <c r="A7" s="27" t="inlineStr">
        <is>
          <t>Main_Result</t>
        </is>
      </c>
      <c r="B7" s="27" t="inlineStr">
        <is>
          <t>Concise evidence-backed result relevant to RQ1–RQ4; not a general interpretation.</t>
        </is>
      </c>
    </row>
    <row r="8">
      <c r="A8" s="27" t="inlineStr">
        <is>
          <t>Code_Available</t>
        </is>
      </c>
      <c r="B8" s="27" t="inlineStr">
        <is>
          <t>Yes only when a public implementation/repository is explicitly verified. “Not identified” is not equivalent to “No”.</t>
        </is>
      </c>
    </row>
    <row r="9">
      <c r="A9" s="27" t="inlineStr">
        <is>
          <t>Data_Available</t>
        </is>
      </c>
      <c r="B9" s="27" t="inlineStr">
        <is>
          <t>Whether benchmark/instance data are publicly available or institutional/private.</t>
        </is>
      </c>
    </row>
    <row r="10">
      <c r="A10" s="27" t="inlineStr">
        <is>
          <t>Reproducibility</t>
        </is>
      </c>
      <c r="B10" s="27" t="inlineStr">
        <is>
          <t>Evidence-based Alta/Media/Baja assessment using the rubric in Extraction_Summary.</t>
        </is>
      </c>
    </row>
    <row r="11">
      <c r="A11" s="27" t="inlineStr">
        <is>
          <t>Evidence_Status</t>
        </is>
      </c>
      <c r="B11" s="27" t="inlineStr">
        <is>
          <t>States whether the row is based on full/open text, publisher abstract, accepted manuscript, or limited bibliographic evidence.</t>
        </is>
      </c>
    </row>
    <row r="12">
      <c r="A12" s="27" t="inlineStr">
        <is>
          <t>Source_URLs</t>
        </is>
      </c>
      <c r="B12" s="27" t="inlineStr">
        <is>
          <t>Plain URLs supporting the row; multiple URLs separated by semicolons.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2026-10-17T10:51:21Z</dcterms:created>
  <dcterms:modified xmlns:dcterms="http://purl.org/dc/terms/" xmlns:xsi="http://www.w3.org/2001/XMLSchema-instance" xsi:type="dcterms:W3CDTF">2026-10-17T12:03:11Z</dcterms:modified>
</cp:coreProperties>
</file>